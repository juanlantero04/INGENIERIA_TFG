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a5a773f2e651390/Documentos/"/>
    </mc:Choice>
  </mc:AlternateContent>
  <xr:revisionPtr revIDLastSave="224" documentId="8_{522F7531-C08A-44F4-9359-0A2B56D530B1}" xr6:coauthVersionLast="47" xr6:coauthVersionMax="47" xr10:uidLastSave="{ADDC54C8-E14F-4E72-B904-68CBD3C2D87F}"/>
  <bookViews>
    <workbookView xWindow="-108" yWindow="-108" windowWidth="23256" windowHeight="12456" xr2:uid="{00000000-000D-0000-FFFF-FFFF00000000}"/>
  </bookViews>
  <sheets>
    <sheet name="DATOS" sheetId="1" r:id="rId1"/>
    <sheet name="Explicac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2" i="1" l="1"/>
  <c r="M72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Q1153" i="1" s="1"/>
  <c r="R1153" i="1" s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Q1064" i="1" s="1"/>
  <c r="R1064" i="1" s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Q988" i="1" s="1"/>
  <c r="R988" i="1" s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1" i="1"/>
  <c r="J960" i="1"/>
  <c r="J959" i="1"/>
  <c r="J958" i="1"/>
  <c r="J957" i="1"/>
  <c r="J956" i="1"/>
  <c r="J955" i="1"/>
  <c r="J954" i="1"/>
  <c r="Q1074" i="1" s="1"/>
  <c r="R1074" i="1" s="1"/>
  <c r="J953" i="1"/>
  <c r="J952" i="1"/>
  <c r="J951" i="1"/>
  <c r="J950" i="1"/>
  <c r="J949" i="1"/>
  <c r="J948" i="1"/>
  <c r="J947" i="1"/>
  <c r="J946" i="1"/>
  <c r="Q1066" i="1" s="1"/>
  <c r="R1066" i="1" s="1"/>
  <c r="J945" i="1"/>
  <c r="J944" i="1"/>
  <c r="J943" i="1"/>
  <c r="J942" i="1"/>
  <c r="J941" i="1"/>
  <c r="J940" i="1"/>
  <c r="J939" i="1"/>
  <c r="J938" i="1"/>
  <c r="Q1058" i="1" s="1"/>
  <c r="R1058" i="1" s="1"/>
  <c r="J937" i="1"/>
  <c r="J936" i="1"/>
  <c r="J935" i="1"/>
  <c r="J934" i="1"/>
  <c r="J933" i="1"/>
  <c r="J932" i="1"/>
  <c r="J931" i="1"/>
  <c r="J930" i="1"/>
  <c r="Q1050" i="1" s="1"/>
  <c r="R1050" i="1" s="1"/>
  <c r="J929" i="1"/>
  <c r="J928" i="1"/>
  <c r="J927" i="1"/>
  <c r="J926" i="1"/>
  <c r="J925" i="1"/>
  <c r="J924" i="1"/>
  <c r="J923" i="1"/>
  <c r="J922" i="1"/>
  <c r="Q1042" i="1" s="1"/>
  <c r="R1042" i="1" s="1"/>
  <c r="J921" i="1"/>
  <c r="J920" i="1"/>
  <c r="J919" i="1"/>
  <c r="J918" i="1"/>
  <c r="J917" i="1"/>
  <c r="J916" i="1"/>
  <c r="J915" i="1"/>
  <c r="J914" i="1"/>
  <c r="Q1034" i="1" s="1"/>
  <c r="R1034" i="1" s="1"/>
  <c r="J913" i="1"/>
  <c r="J912" i="1"/>
  <c r="J911" i="1"/>
  <c r="J910" i="1"/>
  <c r="J909" i="1"/>
  <c r="J908" i="1"/>
  <c r="J907" i="1"/>
  <c r="J906" i="1"/>
  <c r="Q1026" i="1" s="1"/>
  <c r="R1026" i="1" s="1"/>
  <c r="J905" i="1"/>
  <c r="J904" i="1"/>
  <c r="J903" i="1"/>
  <c r="J902" i="1"/>
  <c r="J901" i="1"/>
  <c r="J900" i="1"/>
  <c r="J899" i="1"/>
  <c r="J898" i="1"/>
  <c r="Q1018" i="1" s="1"/>
  <c r="R1018" i="1" s="1"/>
  <c r="J897" i="1"/>
  <c r="J896" i="1"/>
  <c r="J895" i="1"/>
  <c r="J894" i="1"/>
  <c r="J893" i="1"/>
  <c r="J892" i="1"/>
  <c r="J891" i="1"/>
  <c r="J890" i="1"/>
  <c r="Q1010" i="1" s="1"/>
  <c r="R1010" i="1" s="1"/>
  <c r="J889" i="1"/>
  <c r="J888" i="1"/>
  <c r="J887" i="1"/>
  <c r="J886" i="1"/>
  <c r="Q895" i="1" s="1"/>
  <c r="R895" i="1" s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1" i="1"/>
  <c r="J840" i="1"/>
  <c r="J839" i="1"/>
  <c r="J838" i="1"/>
  <c r="J837" i="1"/>
  <c r="J836" i="1"/>
  <c r="J835" i="1"/>
  <c r="J834" i="1"/>
  <c r="J833" i="1"/>
  <c r="Q953" i="1" s="1"/>
  <c r="R953" i="1" s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Q806" i="1" s="1"/>
  <c r="R806" i="1" s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Q758" i="1" s="1"/>
  <c r="R758" i="1" s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1" i="1"/>
  <c r="J720" i="1"/>
  <c r="Q840" i="1" s="1"/>
  <c r="R840" i="1" s="1"/>
  <c r="J719" i="1"/>
  <c r="J718" i="1"/>
  <c r="J717" i="1"/>
  <c r="J716" i="1"/>
  <c r="J715" i="1"/>
  <c r="J714" i="1"/>
  <c r="J713" i="1"/>
  <c r="J712" i="1"/>
  <c r="Q832" i="1" s="1"/>
  <c r="R832" i="1" s="1"/>
  <c r="J711" i="1"/>
  <c r="J710" i="1"/>
  <c r="J709" i="1"/>
  <c r="J708" i="1"/>
  <c r="Q717" i="1" s="1"/>
  <c r="R717" i="1" s="1"/>
  <c r="J707" i="1"/>
  <c r="J706" i="1"/>
  <c r="J705" i="1"/>
  <c r="J704" i="1"/>
  <c r="Q824" i="1" s="1"/>
  <c r="R824" i="1" s="1"/>
  <c r="J703" i="1"/>
  <c r="J702" i="1"/>
  <c r="J701" i="1"/>
  <c r="J700" i="1"/>
  <c r="J699" i="1"/>
  <c r="J698" i="1"/>
  <c r="J697" i="1"/>
  <c r="J696" i="1"/>
  <c r="Q816" i="1" s="1"/>
  <c r="R816" i="1" s="1"/>
  <c r="J695" i="1"/>
  <c r="J694" i="1"/>
  <c r="J693" i="1"/>
  <c r="J692" i="1"/>
  <c r="J691" i="1"/>
  <c r="J690" i="1"/>
  <c r="J689" i="1"/>
  <c r="J688" i="1"/>
  <c r="Q808" i="1" s="1"/>
  <c r="R808" i="1" s="1"/>
  <c r="J687" i="1"/>
  <c r="J686" i="1"/>
  <c r="J685" i="1"/>
  <c r="J684" i="1"/>
  <c r="J683" i="1"/>
  <c r="J682" i="1"/>
  <c r="J681" i="1"/>
  <c r="J680" i="1"/>
  <c r="Q800" i="1" s="1"/>
  <c r="R800" i="1" s="1"/>
  <c r="J679" i="1"/>
  <c r="J678" i="1"/>
  <c r="J677" i="1"/>
  <c r="J676" i="1"/>
  <c r="J675" i="1"/>
  <c r="J674" i="1"/>
  <c r="J673" i="1"/>
  <c r="J672" i="1"/>
  <c r="Q792" i="1" s="1"/>
  <c r="R792" i="1" s="1"/>
  <c r="J671" i="1"/>
  <c r="J670" i="1"/>
  <c r="J669" i="1"/>
  <c r="J668" i="1"/>
  <c r="J667" i="1"/>
  <c r="J666" i="1"/>
  <c r="J665" i="1"/>
  <c r="J664" i="1"/>
  <c r="Q784" i="1" s="1"/>
  <c r="R784" i="1" s="1"/>
  <c r="J663" i="1"/>
  <c r="J662" i="1"/>
  <c r="J661" i="1"/>
  <c r="J660" i="1"/>
  <c r="J659" i="1"/>
  <c r="J658" i="1"/>
  <c r="J657" i="1"/>
  <c r="J656" i="1"/>
  <c r="Q776" i="1" s="1"/>
  <c r="R776" i="1" s="1"/>
  <c r="J655" i="1"/>
  <c r="J654" i="1"/>
  <c r="J653" i="1"/>
  <c r="J652" i="1"/>
  <c r="J651" i="1"/>
  <c r="J650" i="1"/>
  <c r="J649" i="1"/>
  <c r="J648" i="1"/>
  <c r="Q768" i="1" s="1"/>
  <c r="R768" i="1" s="1"/>
  <c r="J647" i="1"/>
  <c r="J646" i="1"/>
  <c r="J645" i="1"/>
  <c r="J644" i="1"/>
  <c r="J643" i="1"/>
  <c r="J642" i="1"/>
  <c r="J641" i="1"/>
  <c r="J640" i="1"/>
  <c r="Q760" i="1" s="1"/>
  <c r="R760" i="1" s="1"/>
  <c r="J639" i="1"/>
  <c r="J638" i="1"/>
  <c r="J637" i="1"/>
  <c r="J636" i="1"/>
  <c r="J635" i="1"/>
  <c r="J634" i="1"/>
  <c r="J633" i="1"/>
  <c r="J632" i="1"/>
  <c r="Q752" i="1" s="1"/>
  <c r="R752" i="1" s="1"/>
  <c r="J631" i="1"/>
  <c r="J630" i="1"/>
  <c r="J629" i="1"/>
  <c r="J628" i="1"/>
  <c r="J627" i="1"/>
  <c r="J626" i="1"/>
  <c r="J625" i="1"/>
  <c r="J624" i="1"/>
  <c r="Q864" i="1" s="1"/>
  <c r="R864" i="1" s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1" i="1"/>
  <c r="J600" i="1"/>
  <c r="J599" i="1"/>
  <c r="Q719" i="1" s="1"/>
  <c r="R719" i="1" s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Q703" i="1" s="1"/>
  <c r="R703" i="1" s="1"/>
  <c r="J582" i="1"/>
  <c r="J581" i="1"/>
  <c r="J580" i="1"/>
  <c r="J579" i="1"/>
  <c r="J578" i="1"/>
  <c r="J577" i="1"/>
  <c r="J576" i="1"/>
  <c r="J575" i="1"/>
  <c r="Q695" i="1" s="1"/>
  <c r="R695" i="1" s="1"/>
  <c r="J574" i="1"/>
  <c r="J573" i="1"/>
  <c r="J572" i="1"/>
  <c r="J571" i="1"/>
  <c r="J570" i="1"/>
  <c r="J569" i="1"/>
  <c r="J568" i="1"/>
  <c r="J567" i="1"/>
  <c r="Q687" i="1" s="1"/>
  <c r="R687" i="1" s="1"/>
  <c r="J566" i="1"/>
  <c r="J565" i="1"/>
  <c r="J564" i="1"/>
  <c r="J563" i="1"/>
  <c r="J562" i="1"/>
  <c r="J561" i="1"/>
  <c r="J560" i="1"/>
  <c r="J559" i="1"/>
  <c r="Q679" i="1" s="1"/>
  <c r="R679" i="1" s="1"/>
  <c r="J558" i="1"/>
  <c r="J557" i="1"/>
  <c r="J556" i="1"/>
  <c r="J555" i="1"/>
  <c r="J554" i="1"/>
  <c r="J553" i="1"/>
  <c r="J552" i="1"/>
  <c r="J551" i="1"/>
  <c r="Q671" i="1" s="1"/>
  <c r="R671" i="1" s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Q544" i="1" s="1"/>
  <c r="R544" i="1" s="1"/>
  <c r="J532" i="1"/>
  <c r="J531" i="1"/>
  <c r="J530" i="1"/>
  <c r="J529" i="1"/>
  <c r="J528" i="1"/>
  <c r="J527" i="1"/>
  <c r="Q767" i="1" s="1"/>
  <c r="R767" i="1" s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Q631" i="1" s="1"/>
  <c r="R631" i="1" s="1"/>
  <c r="J510" i="1"/>
  <c r="J509" i="1"/>
  <c r="J508" i="1"/>
  <c r="J507" i="1"/>
  <c r="J506" i="1"/>
  <c r="J505" i="1"/>
  <c r="J504" i="1"/>
  <c r="J503" i="1"/>
  <c r="Q504" i="1" s="1"/>
  <c r="R504" i="1" s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Q493" i="1" s="1"/>
  <c r="R493" i="1" s="1"/>
  <c r="J481" i="1"/>
  <c r="J480" i="1"/>
  <c r="J479" i="1"/>
  <c r="J478" i="1"/>
  <c r="Q598" i="1" s="1"/>
  <c r="R598" i="1" s="1"/>
  <c r="J477" i="1"/>
  <c r="J476" i="1"/>
  <c r="J475" i="1"/>
  <c r="J474" i="1"/>
  <c r="J473" i="1"/>
  <c r="J472" i="1"/>
  <c r="J471" i="1"/>
  <c r="J470" i="1"/>
  <c r="Q590" i="1" s="1"/>
  <c r="R590" i="1" s="1"/>
  <c r="J469" i="1"/>
  <c r="J468" i="1"/>
  <c r="Q479" i="1" s="1"/>
  <c r="R479" i="1" s="1"/>
  <c r="J467" i="1"/>
  <c r="J466" i="1"/>
  <c r="J465" i="1"/>
  <c r="J464" i="1"/>
  <c r="J463" i="1"/>
  <c r="J462" i="1"/>
  <c r="Q582" i="1" s="1"/>
  <c r="R582" i="1" s="1"/>
  <c r="J461" i="1"/>
  <c r="J460" i="1"/>
  <c r="J459" i="1"/>
  <c r="J458" i="1"/>
  <c r="J457" i="1"/>
  <c r="J456" i="1"/>
  <c r="J455" i="1"/>
  <c r="J454" i="1"/>
  <c r="Q574" i="1" s="1"/>
  <c r="R574" i="1" s="1"/>
  <c r="J453" i="1"/>
  <c r="J452" i="1"/>
  <c r="J451" i="1"/>
  <c r="J450" i="1"/>
  <c r="J449" i="1"/>
  <c r="J448" i="1"/>
  <c r="J447" i="1"/>
  <c r="J446" i="1"/>
  <c r="Q566" i="1" s="1"/>
  <c r="R566" i="1" s="1"/>
  <c r="J445" i="1"/>
  <c r="J444" i="1"/>
  <c r="J443" i="1"/>
  <c r="J442" i="1"/>
  <c r="J441" i="1"/>
  <c r="J440" i="1"/>
  <c r="J439" i="1"/>
  <c r="J438" i="1"/>
  <c r="Q558" i="1" s="1"/>
  <c r="R558" i="1" s="1"/>
  <c r="J437" i="1"/>
  <c r="J436" i="1"/>
  <c r="J435" i="1"/>
  <c r="J434" i="1"/>
  <c r="J433" i="1"/>
  <c r="J432" i="1"/>
  <c r="J431" i="1"/>
  <c r="J430" i="1"/>
  <c r="Q550" i="1" s="1"/>
  <c r="R550" i="1" s="1"/>
  <c r="J429" i="1"/>
  <c r="J428" i="1"/>
  <c r="J427" i="1"/>
  <c r="J426" i="1"/>
  <c r="J425" i="1"/>
  <c r="J424" i="1"/>
  <c r="J423" i="1"/>
  <c r="J422" i="1"/>
  <c r="Q542" i="1" s="1"/>
  <c r="R542" i="1" s="1"/>
  <c r="J421" i="1"/>
  <c r="J420" i="1"/>
  <c r="J419" i="1"/>
  <c r="J418" i="1"/>
  <c r="J417" i="1"/>
  <c r="J416" i="1"/>
  <c r="J415" i="1"/>
  <c r="J414" i="1"/>
  <c r="Q534" i="1" s="1"/>
  <c r="R534" i="1" s="1"/>
  <c r="J413" i="1"/>
  <c r="J412" i="1"/>
  <c r="J411" i="1"/>
  <c r="J410" i="1"/>
  <c r="J409" i="1"/>
  <c r="J408" i="1"/>
  <c r="J407" i="1"/>
  <c r="J406" i="1"/>
  <c r="Q526" i="1" s="1"/>
  <c r="R526" i="1" s="1"/>
  <c r="J405" i="1"/>
  <c r="J404" i="1"/>
  <c r="J403" i="1"/>
  <c r="J402" i="1"/>
  <c r="J401" i="1"/>
  <c r="J400" i="1"/>
  <c r="J399" i="1"/>
  <c r="J398" i="1"/>
  <c r="Q518" i="1" s="1"/>
  <c r="R518" i="1" s="1"/>
  <c r="J397" i="1"/>
  <c r="J396" i="1"/>
  <c r="J395" i="1"/>
  <c r="J394" i="1"/>
  <c r="J393" i="1"/>
  <c r="J392" i="1"/>
  <c r="J391" i="1"/>
  <c r="J390" i="1"/>
  <c r="Q510" i="1" s="1"/>
  <c r="R510" i="1" s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1" i="1"/>
  <c r="J360" i="1"/>
  <c r="J359" i="1"/>
  <c r="J358" i="1"/>
  <c r="J357" i="1"/>
  <c r="Q477" i="1" s="1"/>
  <c r="R477" i="1" s="1"/>
  <c r="J356" i="1"/>
  <c r="J355" i="1"/>
  <c r="J354" i="1"/>
  <c r="J353" i="1"/>
  <c r="J352" i="1"/>
  <c r="J351" i="1"/>
  <c r="J350" i="1"/>
  <c r="J349" i="1"/>
  <c r="Q481" i="1" s="1"/>
  <c r="R481" i="1" s="1"/>
  <c r="J348" i="1"/>
  <c r="J347" i="1"/>
  <c r="J346" i="1"/>
  <c r="J345" i="1"/>
  <c r="J344" i="1"/>
  <c r="J343" i="1"/>
  <c r="J342" i="1"/>
  <c r="J341" i="1"/>
  <c r="Q473" i="1" s="1"/>
  <c r="R473" i="1" s="1"/>
  <c r="J340" i="1"/>
  <c r="J339" i="1"/>
  <c r="J338" i="1"/>
  <c r="J337" i="1"/>
  <c r="J336" i="1"/>
  <c r="J335" i="1"/>
  <c r="J334" i="1"/>
  <c r="J333" i="1"/>
  <c r="Q465" i="1" s="1"/>
  <c r="R465" i="1" s="1"/>
  <c r="J332" i="1"/>
  <c r="J331" i="1"/>
  <c r="J330" i="1"/>
  <c r="J329" i="1"/>
  <c r="J328" i="1"/>
  <c r="J327" i="1"/>
  <c r="J326" i="1"/>
  <c r="J325" i="1"/>
  <c r="Q457" i="1" s="1"/>
  <c r="R457" i="1" s="1"/>
  <c r="J324" i="1"/>
  <c r="J323" i="1"/>
  <c r="J322" i="1"/>
  <c r="J321" i="1"/>
  <c r="J320" i="1"/>
  <c r="Q1040" i="1" s="1"/>
  <c r="R1040" i="1" s="1"/>
  <c r="J319" i="1"/>
  <c r="J318" i="1"/>
  <c r="J317" i="1"/>
  <c r="Q449" i="1" s="1"/>
  <c r="R449" i="1" s="1"/>
  <c r="J316" i="1"/>
  <c r="J315" i="1"/>
  <c r="J314" i="1"/>
  <c r="J313" i="1"/>
  <c r="J312" i="1"/>
  <c r="Q1032" i="1" s="1"/>
  <c r="R1032" i="1" s="1"/>
  <c r="J311" i="1"/>
  <c r="J310" i="1"/>
  <c r="J309" i="1"/>
  <c r="Q441" i="1" s="1"/>
  <c r="R441" i="1" s="1"/>
  <c r="J308" i="1"/>
  <c r="J307" i="1"/>
  <c r="J306" i="1"/>
  <c r="J305" i="1"/>
  <c r="J304" i="1"/>
  <c r="Q1024" i="1" s="1"/>
  <c r="R1024" i="1" s="1"/>
  <c r="J303" i="1"/>
  <c r="J302" i="1"/>
  <c r="J301" i="1"/>
  <c r="Q433" i="1" s="1"/>
  <c r="R433" i="1" s="1"/>
  <c r="J300" i="1"/>
  <c r="J299" i="1"/>
  <c r="J298" i="1"/>
  <c r="J297" i="1"/>
  <c r="J296" i="1"/>
  <c r="Q1016" i="1" s="1"/>
  <c r="R1016" i="1" s="1"/>
  <c r="J295" i="1"/>
  <c r="J294" i="1"/>
  <c r="J293" i="1"/>
  <c r="Q425" i="1" s="1"/>
  <c r="R425" i="1" s="1"/>
  <c r="J292" i="1"/>
  <c r="J291" i="1"/>
  <c r="J290" i="1"/>
  <c r="J289" i="1"/>
  <c r="J288" i="1"/>
  <c r="Q1008" i="1" s="1"/>
  <c r="R1008" i="1" s="1"/>
  <c r="J287" i="1"/>
  <c r="J286" i="1"/>
  <c r="J285" i="1"/>
  <c r="Q417" i="1" s="1"/>
  <c r="R417" i="1" s="1"/>
  <c r="J284" i="1"/>
  <c r="J283" i="1"/>
  <c r="J282" i="1"/>
  <c r="J281" i="1"/>
  <c r="J280" i="1"/>
  <c r="Q1000" i="1" s="1"/>
  <c r="R1000" i="1" s="1"/>
  <c r="J279" i="1"/>
  <c r="J278" i="1"/>
  <c r="J277" i="1"/>
  <c r="Q409" i="1" s="1"/>
  <c r="R409" i="1" s="1"/>
  <c r="J276" i="1"/>
  <c r="J275" i="1"/>
  <c r="J274" i="1"/>
  <c r="J273" i="1"/>
  <c r="J272" i="1"/>
  <c r="Q992" i="1" s="1"/>
  <c r="R992" i="1" s="1"/>
  <c r="J271" i="1"/>
  <c r="J270" i="1"/>
  <c r="J269" i="1"/>
  <c r="Q401" i="1" s="1"/>
  <c r="R401" i="1" s="1"/>
  <c r="J268" i="1"/>
  <c r="J267" i="1"/>
  <c r="J266" i="1"/>
  <c r="J265" i="1"/>
  <c r="J264" i="1"/>
  <c r="Q984" i="1" s="1"/>
  <c r="R984" i="1" s="1"/>
  <c r="J263" i="1"/>
  <c r="J262" i="1"/>
  <c r="J261" i="1"/>
  <c r="Q393" i="1" s="1"/>
  <c r="R393" i="1" s="1"/>
  <c r="J260" i="1"/>
  <c r="J259" i="1"/>
  <c r="J258" i="1"/>
  <c r="J257" i="1"/>
  <c r="J256" i="1"/>
  <c r="Q976" i="1" s="1"/>
  <c r="R976" i="1" s="1"/>
  <c r="J255" i="1"/>
  <c r="J254" i="1"/>
  <c r="J253" i="1"/>
  <c r="Q385" i="1" s="1"/>
  <c r="R385" i="1" s="1"/>
  <c r="J252" i="1"/>
  <c r="J251" i="1"/>
  <c r="J250" i="1"/>
  <c r="J249" i="1"/>
  <c r="J248" i="1"/>
  <c r="J247" i="1"/>
  <c r="J246" i="1"/>
  <c r="J245" i="1"/>
  <c r="Q377" i="1" s="1"/>
  <c r="R377" i="1" s="1"/>
  <c r="J244" i="1"/>
  <c r="J243" i="1"/>
  <c r="J241" i="1"/>
  <c r="J240" i="1"/>
  <c r="J239" i="1"/>
  <c r="J238" i="1"/>
  <c r="J237" i="1"/>
  <c r="J236" i="1"/>
  <c r="Q356" i="1" s="1"/>
  <c r="R356" i="1" s="1"/>
  <c r="J235" i="1"/>
  <c r="J234" i="1"/>
  <c r="J233" i="1"/>
  <c r="J232" i="1"/>
  <c r="J231" i="1"/>
  <c r="J230" i="1"/>
  <c r="J229" i="1"/>
  <c r="J228" i="1"/>
  <c r="Q348" i="1" s="1"/>
  <c r="R348" i="1" s="1"/>
  <c r="J227" i="1"/>
  <c r="J226" i="1"/>
  <c r="J225" i="1"/>
  <c r="J224" i="1"/>
  <c r="J223" i="1"/>
  <c r="J222" i="1"/>
  <c r="J221" i="1"/>
  <c r="J220" i="1"/>
  <c r="Q340" i="1" s="1"/>
  <c r="R340" i="1" s="1"/>
  <c r="J219" i="1"/>
  <c r="J218" i="1"/>
  <c r="J217" i="1"/>
  <c r="J216" i="1"/>
  <c r="J215" i="1"/>
  <c r="J214" i="1"/>
  <c r="J213" i="1"/>
  <c r="J212" i="1"/>
  <c r="Q332" i="1" s="1"/>
  <c r="R332" i="1" s="1"/>
  <c r="J211" i="1"/>
  <c r="J210" i="1"/>
  <c r="J209" i="1"/>
  <c r="J208" i="1"/>
  <c r="J207" i="1"/>
  <c r="J206" i="1"/>
  <c r="J205" i="1"/>
  <c r="J204" i="1"/>
  <c r="Q324" i="1" s="1"/>
  <c r="R324" i="1" s="1"/>
  <c r="J203" i="1"/>
  <c r="J202" i="1"/>
  <c r="J201" i="1"/>
  <c r="J200" i="1"/>
  <c r="J199" i="1"/>
  <c r="J198" i="1"/>
  <c r="J197" i="1"/>
  <c r="J196" i="1"/>
  <c r="Q316" i="1" s="1"/>
  <c r="R316" i="1" s="1"/>
  <c r="J195" i="1"/>
  <c r="J194" i="1"/>
  <c r="J193" i="1"/>
  <c r="J192" i="1"/>
  <c r="J191" i="1"/>
  <c r="J190" i="1"/>
  <c r="J189" i="1"/>
  <c r="J188" i="1"/>
  <c r="Q308" i="1" s="1"/>
  <c r="R308" i="1" s="1"/>
  <c r="J187" i="1"/>
  <c r="J186" i="1"/>
  <c r="Q197" i="1" s="1"/>
  <c r="R197" i="1" s="1"/>
  <c r="J185" i="1"/>
  <c r="J184" i="1"/>
  <c r="J183" i="1"/>
  <c r="Q903" i="1" s="1"/>
  <c r="R903" i="1" s="1"/>
  <c r="J182" i="1"/>
  <c r="J181" i="1"/>
  <c r="J180" i="1"/>
  <c r="Q300" i="1" s="1"/>
  <c r="R300" i="1" s="1"/>
  <c r="J179" i="1"/>
  <c r="J178" i="1"/>
  <c r="J177" i="1"/>
  <c r="J176" i="1"/>
  <c r="J175" i="1"/>
  <c r="J174" i="1"/>
  <c r="J173" i="1"/>
  <c r="J172" i="1"/>
  <c r="Q292" i="1" s="1"/>
  <c r="R292" i="1" s="1"/>
  <c r="J171" i="1"/>
  <c r="J170" i="1"/>
  <c r="J169" i="1"/>
  <c r="J168" i="1"/>
  <c r="J167" i="1"/>
  <c r="J166" i="1"/>
  <c r="J165" i="1"/>
  <c r="J164" i="1"/>
  <c r="Q284" i="1" s="1"/>
  <c r="R284" i="1" s="1"/>
  <c r="J163" i="1"/>
  <c r="J162" i="1"/>
  <c r="J161" i="1"/>
  <c r="J160" i="1"/>
  <c r="J159" i="1"/>
  <c r="J158" i="1"/>
  <c r="J157" i="1"/>
  <c r="J156" i="1"/>
  <c r="Q276" i="1" s="1"/>
  <c r="R276" i="1" s="1"/>
  <c r="J155" i="1"/>
  <c r="J154" i="1"/>
  <c r="Q165" i="1" s="1"/>
  <c r="R165" i="1" s="1"/>
  <c r="J153" i="1"/>
  <c r="J152" i="1"/>
  <c r="J151" i="1"/>
  <c r="J150" i="1"/>
  <c r="J149" i="1"/>
  <c r="J148" i="1"/>
  <c r="Q268" i="1" s="1"/>
  <c r="R268" i="1" s="1"/>
  <c r="J147" i="1"/>
  <c r="J146" i="1"/>
  <c r="J145" i="1"/>
  <c r="J144" i="1"/>
  <c r="J143" i="1"/>
  <c r="J142" i="1"/>
  <c r="J141" i="1"/>
  <c r="J140" i="1"/>
  <c r="Q260" i="1" s="1"/>
  <c r="R260" i="1" s="1"/>
  <c r="J139" i="1"/>
  <c r="J138" i="1"/>
  <c r="J137" i="1"/>
  <c r="J136" i="1"/>
  <c r="J135" i="1"/>
  <c r="J134" i="1"/>
  <c r="J133" i="1"/>
  <c r="J132" i="1"/>
  <c r="Q144" i="1" s="1"/>
  <c r="R144" i="1" s="1"/>
  <c r="J131" i="1"/>
  <c r="J130" i="1"/>
  <c r="J129" i="1"/>
  <c r="J128" i="1"/>
  <c r="J127" i="1"/>
  <c r="J126" i="1"/>
  <c r="J125" i="1"/>
  <c r="J124" i="1"/>
  <c r="Q136" i="1" s="1"/>
  <c r="R136" i="1" s="1"/>
  <c r="J123" i="1"/>
  <c r="J121" i="1"/>
  <c r="J120" i="1"/>
  <c r="J119" i="1"/>
  <c r="J118" i="1"/>
  <c r="Q1198" i="1" s="1"/>
  <c r="R1198" i="1" s="1"/>
  <c r="J117" i="1"/>
  <c r="J116" i="1"/>
  <c r="J115" i="1"/>
  <c r="Q235" i="1" s="1"/>
  <c r="R235" i="1" s="1"/>
  <c r="J114" i="1"/>
  <c r="J113" i="1"/>
  <c r="J112" i="1"/>
  <c r="J111" i="1"/>
  <c r="J110" i="1"/>
  <c r="Q1190" i="1" s="1"/>
  <c r="R1190" i="1" s="1"/>
  <c r="J109" i="1"/>
  <c r="J108" i="1"/>
  <c r="J107" i="1"/>
  <c r="Q239" i="1" s="1"/>
  <c r="R239" i="1" s="1"/>
  <c r="J106" i="1"/>
  <c r="J105" i="1"/>
  <c r="J104" i="1"/>
  <c r="J103" i="1"/>
  <c r="J102" i="1"/>
  <c r="Q1182" i="1" s="1"/>
  <c r="R1182" i="1" s="1"/>
  <c r="J101" i="1"/>
  <c r="J100" i="1"/>
  <c r="J99" i="1"/>
  <c r="Q231" i="1" s="1"/>
  <c r="R231" i="1" s="1"/>
  <c r="J98" i="1"/>
  <c r="J97" i="1"/>
  <c r="J96" i="1"/>
  <c r="J95" i="1"/>
  <c r="J94" i="1"/>
  <c r="Q1174" i="1" s="1"/>
  <c r="R1174" i="1" s="1"/>
  <c r="J93" i="1"/>
  <c r="J92" i="1"/>
  <c r="J91" i="1"/>
  <c r="Q223" i="1" s="1"/>
  <c r="R223" i="1" s="1"/>
  <c r="J90" i="1"/>
  <c r="J89" i="1"/>
  <c r="J88" i="1"/>
  <c r="J87" i="1"/>
  <c r="J86" i="1"/>
  <c r="Q1166" i="1" s="1"/>
  <c r="R1166" i="1" s="1"/>
  <c r="J85" i="1"/>
  <c r="J84" i="1"/>
  <c r="J83" i="1"/>
  <c r="Q215" i="1" s="1"/>
  <c r="R215" i="1" s="1"/>
  <c r="J82" i="1"/>
  <c r="Q1162" i="1" s="1"/>
  <c r="R1162" i="1" s="1"/>
  <c r="J81" i="1"/>
  <c r="J80" i="1"/>
  <c r="J79" i="1"/>
  <c r="J78" i="1"/>
  <c r="Q1158" i="1" s="1"/>
  <c r="R1158" i="1" s="1"/>
  <c r="J77" i="1"/>
  <c r="J76" i="1"/>
  <c r="J75" i="1"/>
  <c r="Q207" i="1" s="1"/>
  <c r="R207" i="1" s="1"/>
  <c r="J74" i="1"/>
  <c r="J73" i="1"/>
  <c r="J72" i="1"/>
  <c r="J71" i="1"/>
  <c r="J70" i="1"/>
  <c r="Q1150" i="1" s="1"/>
  <c r="R1150" i="1" s="1"/>
  <c r="J69" i="1"/>
  <c r="J68" i="1"/>
  <c r="J67" i="1"/>
  <c r="Q199" i="1" s="1"/>
  <c r="R199" i="1" s="1"/>
  <c r="J66" i="1"/>
  <c r="Q1146" i="1" s="1"/>
  <c r="R1146" i="1" s="1"/>
  <c r="J65" i="1"/>
  <c r="J64" i="1"/>
  <c r="J63" i="1"/>
  <c r="J62" i="1"/>
  <c r="Q1142" i="1" s="1"/>
  <c r="R1142" i="1" s="1"/>
  <c r="J61" i="1"/>
  <c r="J60" i="1"/>
  <c r="J59" i="1"/>
  <c r="Q191" i="1" s="1"/>
  <c r="R191" i="1" s="1"/>
  <c r="J58" i="1"/>
  <c r="Q1138" i="1" s="1"/>
  <c r="R1138" i="1" s="1"/>
  <c r="J57" i="1"/>
  <c r="J56" i="1"/>
  <c r="J55" i="1"/>
  <c r="J54" i="1"/>
  <c r="J53" i="1"/>
  <c r="J52" i="1"/>
  <c r="J51" i="1"/>
  <c r="Q183" i="1" s="1"/>
  <c r="R183" i="1" s="1"/>
  <c r="J50" i="1"/>
  <c r="J49" i="1"/>
  <c r="J48" i="1"/>
  <c r="J47" i="1"/>
  <c r="J46" i="1"/>
  <c r="Q1126" i="1" s="1"/>
  <c r="R1126" i="1" s="1"/>
  <c r="J45" i="1"/>
  <c r="J44" i="1"/>
  <c r="J43" i="1"/>
  <c r="Q175" i="1" s="1"/>
  <c r="R175" i="1" s="1"/>
  <c r="J42" i="1"/>
  <c r="Q53" i="1" s="1"/>
  <c r="R53" i="1" s="1"/>
  <c r="J41" i="1"/>
  <c r="J40" i="1"/>
  <c r="J39" i="1"/>
  <c r="J38" i="1"/>
  <c r="Q1118" i="1" s="1"/>
  <c r="R1118" i="1" s="1"/>
  <c r="J37" i="1"/>
  <c r="J36" i="1"/>
  <c r="J35" i="1"/>
  <c r="Q167" i="1" s="1"/>
  <c r="R167" i="1" s="1"/>
  <c r="J34" i="1"/>
  <c r="Q1114" i="1" s="1"/>
  <c r="R1114" i="1" s="1"/>
  <c r="J33" i="1"/>
  <c r="J32" i="1"/>
  <c r="J31" i="1"/>
  <c r="J30" i="1"/>
  <c r="J29" i="1"/>
  <c r="J28" i="1"/>
  <c r="J27" i="1"/>
  <c r="Q159" i="1" s="1"/>
  <c r="R159" i="1" s="1"/>
  <c r="J26" i="1"/>
  <c r="Q1106" i="1" s="1"/>
  <c r="R1106" i="1" s="1"/>
  <c r="J25" i="1"/>
  <c r="J24" i="1"/>
  <c r="J23" i="1"/>
  <c r="J22" i="1"/>
  <c r="J21" i="1"/>
  <c r="J20" i="1"/>
  <c r="J19" i="1"/>
  <c r="Q151" i="1" s="1"/>
  <c r="R151" i="1" s="1"/>
  <c r="J18" i="1"/>
  <c r="J17" i="1"/>
  <c r="J16" i="1"/>
  <c r="J15" i="1"/>
  <c r="Q26" i="1" s="1"/>
  <c r="R26" i="1" s="1"/>
  <c r="J14" i="1"/>
  <c r="S1094" i="1" s="1"/>
  <c r="J13" i="1"/>
  <c r="J12" i="1"/>
  <c r="J11" i="1"/>
  <c r="Q143" i="1" s="1"/>
  <c r="R143" i="1" s="1"/>
  <c r="J10" i="1"/>
  <c r="J9" i="1"/>
  <c r="J8" i="1"/>
  <c r="J7" i="1"/>
  <c r="J6" i="1"/>
  <c r="J5" i="1"/>
  <c r="J4" i="1"/>
  <c r="J3" i="1"/>
  <c r="Q135" i="1" s="1"/>
  <c r="R135" i="1" s="1"/>
  <c r="O70" i="1"/>
  <c r="Q1130" i="1"/>
  <c r="R1130" i="1" s="1"/>
  <c r="Q1169" i="1"/>
  <c r="R1169" i="1" s="1"/>
  <c r="Q1185" i="1"/>
  <c r="R1185" i="1" s="1"/>
  <c r="Q1201" i="1"/>
  <c r="R1201" i="1" s="1"/>
  <c r="Q1001" i="1"/>
  <c r="R1001" i="1" s="1"/>
  <c r="Q1033" i="1"/>
  <c r="R1033" i="1" s="1"/>
  <c r="Q1049" i="1"/>
  <c r="R1049" i="1" s="1"/>
  <c r="Q1080" i="1"/>
  <c r="R1080" i="1" s="1"/>
  <c r="Q863" i="1"/>
  <c r="R863" i="1" s="1"/>
  <c r="Q911" i="1"/>
  <c r="R911" i="1" s="1"/>
  <c r="Q924" i="1"/>
  <c r="R924" i="1" s="1"/>
  <c r="Q940" i="1"/>
  <c r="R940" i="1" s="1"/>
  <c r="Q774" i="1"/>
  <c r="R774" i="1" s="1"/>
  <c r="Q835" i="1"/>
  <c r="R835" i="1" s="1"/>
  <c r="Q560" i="1"/>
  <c r="R560" i="1" s="1"/>
  <c r="Q266" i="1"/>
  <c r="R266" i="1" s="1"/>
  <c r="Q592" i="1" l="1"/>
  <c r="R592" i="1" s="1"/>
  <c r="Q617" i="1"/>
  <c r="R617" i="1" s="1"/>
  <c r="Q746" i="1"/>
  <c r="R746" i="1" s="1"/>
  <c r="Q162" i="1"/>
  <c r="R162" i="1" s="1"/>
  <c r="Q178" i="1"/>
  <c r="R178" i="1" s="1"/>
  <c r="Q786" i="1"/>
  <c r="R786" i="1" s="1"/>
  <c r="Q90" i="1"/>
  <c r="R90" i="1" s="1"/>
  <c r="Q379" i="1"/>
  <c r="R379" i="1" s="1"/>
  <c r="Q267" i="1"/>
  <c r="R267" i="1" s="1"/>
  <c r="Q395" i="1"/>
  <c r="R395" i="1" s="1"/>
  <c r="Q283" i="1"/>
  <c r="R283" i="1" s="1"/>
  <c r="Q500" i="1"/>
  <c r="R500" i="1" s="1"/>
  <c r="Q868" i="1"/>
  <c r="R868" i="1" s="1"/>
  <c r="Q516" i="1"/>
  <c r="R516" i="1" s="1"/>
  <c r="Q532" i="1"/>
  <c r="R532" i="1" s="1"/>
  <c r="Q1020" i="1"/>
  <c r="R1020" i="1" s="1"/>
  <c r="Q548" i="1"/>
  <c r="R548" i="1" s="1"/>
  <c r="Q1036" i="1"/>
  <c r="R1036" i="1" s="1"/>
  <c r="Q444" i="1"/>
  <c r="R444" i="1" s="1"/>
  <c r="Q452" i="1"/>
  <c r="R452" i="1" s="1"/>
  <c r="Q1060" i="1"/>
  <c r="R1060" i="1" s="1"/>
  <c r="Q476" i="1"/>
  <c r="R476" i="1" s="1"/>
  <c r="Q1093" i="1"/>
  <c r="R1093" i="1" s="1"/>
  <c r="Q501" i="1"/>
  <c r="R501" i="1" s="1"/>
  <c r="Q989" i="1"/>
  <c r="R989" i="1" s="1"/>
  <c r="Q517" i="1"/>
  <c r="R517" i="1" s="1"/>
  <c r="Q1005" i="1"/>
  <c r="R1005" i="1" s="1"/>
  <c r="Q533" i="1"/>
  <c r="R533" i="1" s="1"/>
  <c r="Q1021" i="1"/>
  <c r="R1021" i="1" s="1"/>
  <c r="Q549" i="1"/>
  <c r="R549" i="1" s="1"/>
  <c r="Q1037" i="1"/>
  <c r="R1037" i="1" s="1"/>
  <c r="Q565" i="1"/>
  <c r="R565" i="1" s="1"/>
  <c r="Q1173" i="1"/>
  <c r="R1173" i="1" s="1"/>
  <c r="Q581" i="1"/>
  <c r="R581" i="1" s="1"/>
  <c r="Q597" i="1"/>
  <c r="R597" i="1" s="1"/>
  <c r="Q290" i="1"/>
  <c r="R290" i="1" s="1"/>
  <c r="Q194" i="1"/>
  <c r="R194" i="1" s="1"/>
  <c r="Q818" i="1"/>
  <c r="R818" i="1" s="1"/>
  <c r="Q463" i="1"/>
  <c r="R463" i="1" s="1"/>
  <c r="Q512" i="1"/>
  <c r="R512" i="1" s="1"/>
  <c r="Q790" i="1"/>
  <c r="R790" i="1" s="1"/>
  <c r="Q879" i="1"/>
  <c r="R879" i="1" s="1"/>
  <c r="Q34" i="1"/>
  <c r="R34" i="1" s="1"/>
  <c r="Q1048" i="1"/>
  <c r="R1048" i="1" s="1"/>
  <c r="Q1056" i="1"/>
  <c r="R1056" i="1" s="1"/>
  <c r="Q1072" i="1"/>
  <c r="R1072" i="1" s="1"/>
  <c r="Q1105" i="1"/>
  <c r="R1105" i="1" s="1"/>
  <c r="Q887" i="1"/>
  <c r="R887" i="1" s="1"/>
  <c r="Q376" i="1"/>
  <c r="R376" i="1" s="1"/>
  <c r="Q520" i="1"/>
  <c r="R520" i="1" s="1"/>
  <c r="Q447" i="1"/>
  <c r="R447" i="1" s="1"/>
  <c r="Q653" i="1"/>
  <c r="R653" i="1" s="1"/>
  <c r="Q855" i="1"/>
  <c r="R855" i="1" s="1"/>
  <c r="Q871" i="1"/>
  <c r="R871" i="1" s="1"/>
  <c r="Q403" i="1"/>
  <c r="R403" i="1" s="1"/>
  <c r="Q622" i="1"/>
  <c r="R622" i="1" s="1"/>
  <c r="Q956" i="1"/>
  <c r="R956" i="1" s="1"/>
  <c r="Q76" i="1"/>
  <c r="R76" i="1" s="1"/>
  <c r="Q213" i="1"/>
  <c r="R213" i="1" s="1"/>
  <c r="Q149" i="1"/>
  <c r="R149" i="1" s="1"/>
  <c r="Q181" i="1"/>
  <c r="R181" i="1" s="1"/>
  <c r="Q282" i="1"/>
  <c r="R282" i="1" s="1"/>
  <c r="Q314" i="1"/>
  <c r="R314" i="1" s="1"/>
  <c r="Q419" i="1"/>
  <c r="R419" i="1" s="1"/>
  <c r="Q528" i="1"/>
  <c r="R528" i="1" s="1"/>
  <c r="Q416" i="1"/>
  <c r="R416" i="1" s="1"/>
  <c r="Q346" i="1"/>
  <c r="R346" i="1" s="1"/>
  <c r="Q588" i="1"/>
  <c r="R588" i="1" s="1"/>
  <c r="Q702" i="1"/>
  <c r="R702" i="1" s="1"/>
  <c r="Q298" i="1"/>
  <c r="R298" i="1" s="1"/>
  <c r="Q573" i="1"/>
  <c r="R573" i="1" s="1"/>
  <c r="Q673" i="1"/>
  <c r="R673" i="1" s="1"/>
  <c r="Q497" i="1"/>
  <c r="R497" i="1" s="1"/>
  <c r="Q638" i="1"/>
  <c r="R638" i="1" s="1"/>
  <c r="Q686" i="1"/>
  <c r="R686" i="1" s="1"/>
  <c r="Q743" i="1"/>
  <c r="R743" i="1" s="1"/>
  <c r="Q1017" i="1"/>
  <c r="R1017" i="1" s="1"/>
  <c r="Q1110" i="1"/>
  <c r="R1110" i="1" s="1"/>
  <c r="Q498" i="1"/>
  <c r="R498" i="1" s="1"/>
  <c r="Q229" i="1"/>
  <c r="R229" i="1" s="1"/>
  <c r="Q330" i="1"/>
  <c r="R330" i="1" s="1"/>
  <c r="Q431" i="1"/>
  <c r="R431" i="1" s="1"/>
  <c r="Q14" i="1"/>
  <c r="R14" i="1" s="1"/>
  <c r="Q977" i="1"/>
  <c r="R977" i="1" s="1"/>
  <c r="Q993" i="1"/>
  <c r="R993" i="1" s="1"/>
  <c r="Q1121" i="1"/>
  <c r="R1121" i="1" s="1"/>
  <c r="Q1009" i="1"/>
  <c r="R1009" i="1" s="1"/>
  <c r="Q1137" i="1"/>
  <c r="R1137" i="1" s="1"/>
  <c r="Q1025" i="1"/>
  <c r="R1025" i="1" s="1"/>
  <c r="Q1161" i="1"/>
  <c r="R1161" i="1" s="1"/>
  <c r="Q1177" i="1"/>
  <c r="R1177" i="1" s="1"/>
  <c r="Q1193" i="1"/>
  <c r="R1193" i="1" s="1"/>
  <c r="Q117" i="1"/>
  <c r="R117" i="1" s="1"/>
  <c r="Q388" i="1"/>
  <c r="R388" i="1" s="1"/>
  <c r="Q820" i="1"/>
  <c r="R820" i="1" s="1"/>
  <c r="Q23" i="1"/>
  <c r="R23" i="1" s="1"/>
  <c r="Q586" i="1"/>
  <c r="R586" i="1" s="1"/>
  <c r="Q98" i="1"/>
  <c r="R98" i="1" s="1"/>
  <c r="Q253" i="1"/>
  <c r="R253" i="1" s="1"/>
  <c r="Q933" i="1"/>
  <c r="R933" i="1" s="1"/>
  <c r="Q121" i="1"/>
  <c r="R121" i="1" s="1"/>
  <c r="Q116" i="1"/>
  <c r="R116" i="1" s="1"/>
  <c r="Q93" i="1"/>
  <c r="R93" i="1" s="1"/>
  <c r="Q74" i="1"/>
  <c r="R74" i="1" s="1"/>
  <c r="Q52" i="1"/>
  <c r="R52" i="1" s="1"/>
  <c r="Q133" i="1"/>
  <c r="R133" i="1" s="1"/>
  <c r="Q226" i="1"/>
  <c r="R226" i="1" s="1"/>
  <c r="Q210" i="1"/>
  <c r="R210" i="1" s="1"/>
  <c r="Q146" i="1"/>
  <c r="R146" i="1" s="1"/>
  <c r="Q359" i="1"/>
  <c r="R359" i="1" s="1"/>
  <c r="Q343" i="1"/>
  <c r="R343" i="1" s="1"/>
  <c r="Q327" i="1"/>
  <c r="R327" i="1" s="1"/>
  <c r="Q311" i="1"/>
  <c r="R311" i="1" s="1"/>
  <c r="Q295" i="1"/>
  <c r="R295" i="1" s="1"/>
  <c r="Q279" i="1"/>
  <c r="R279" i="1" s="1"/>
  <c r="Q263" i="1"/>
  <c r="R263" i="1" s="1"/>
  <c r="Q460" i="1"/>
  <c r="R460" i="1" s="1"/>
  <c r="Q430" i="1"/>
  <c r="R430" i="1" s="1"/>
  <c r="Q400" i="1"/>
  <c r="R400" i="1" s="1"/>
  <c r="Q387" i="1"/>
  <c r="R387" i="1" s="1"/>
  <c r="Q601" i="1"/>
  <c r="R601" i="1" s="1"/>
  <c r="Q572" i="1"/>
  <c r="R572" i="1" s="1"/>
  <c r="Q557" i="1"/>
  <c r="R557" i="1" s="1"/>
  <c r="Q541" i="1"/>
  <c r="R541" i="1" s="1"/>
  <c r="Q525" i="1"/>
  <c r="R525" i="1" s="1"/>
  <c r="Q509" i="1"/>
  <c r="R509" i="1" s="1"/>
  <c r="Q496" i="1"/>
  <c r="R496" i="1" s="1"/>
  <c r="Q650" i="1"/>
  <c r="R650" i="1" s="1"/>
  <c r="Q637" i="1"/>
  <c r="R637" i="1" s="1"/>
  <c r="Q621" i="1"/>
  <c r="R621" i="1" s="1"/>
  <c r="Q714" i="1"/>
  <c r="R714" i="1" s="1"/>
  <c r="Q701" i="1"/>
  <c r="R701" i="1" s="1"/>
  <c r="Q685" i="1"/>
  <c r="R685" i="1" s="1"/>
  <c r="Q670" i="1"/>
  <c r="R670" i="1" s="1"/>
  <c r="Q834" i="1"/>
  <c r="R834" i="1" s="1"/>
  <c r="Q819" i="1"/>
  <c r="R819" i="1" s="1"/>
  <c r="Q803" i="1"/>
  <c r="R803" i="1" s="1"/>
  <c r="Q787" i="1"/>
  <c r="R787" i="1" s="1"/>
  <c r="Q771" i="1"/>
  <c r="R771" i="1" s="1"/>
  <c r="Q756" i="1"/>
  <c r="R756" i="1" s="1"/>
  <c r="Q742" i="1"/>
  <c r="R742" i="1" s="1"/>
  <c r="Q955" i="1"/>
  <c r="R955" i="1" s="1"/>
  <c r="Q939" i="1"/>
  <c r="R939" i="1" s="1"/>
  <c r="Q923" i="1"/>
  <c r="R923" i="1" s="1"/>
  <c r="Q908" i="1"/>
  <c r="R908" i="1" s="1"/>
  <c r="Q892" i="1"/>
  <c r="R892" i="1" s="1"/>
  <c r="Q876" i="1"/>
  <c r="R876" i="1" s="1"/>
  <c r="Q860" i="1"/>
  <c r="R860" i="1" s="1"/>
  <c r="Q1077" i="1"/>
  <c r="R1077" i="1" s="1"/>
  <c r="Q1062" i="1"/>
  <c r="R1062" i="1" s="1"/>
  <c r="Q985" i="1"/>
  <c r="R985" i="1" s="1"/>
  <c r="Q1129" i="1"/>
  <c r="R1129" i="1" s="1"/>
  <c r="Q667" i="1"/>
  <c r="R667" i="1" s="1"/>
  <c r="Q675" i="1"/>
  <c r="R675" i="1" s="1"/>
  <c r="Q885" i="1"/>
  <c r="R885" i="1" s="1"/>
  <c r="Q1135" i="1"/>
  <c r="R1135" i="1" s="1"/>
  <c r="Q1175" i="1"/>
  <c r="R1175" i="1" s="1"/>
  <c r="Q1199" i="1"/>
  <c r="R1199" i="1" s="1"/>
  <c r="Q1195" i="1"/>
  <c r="R1195" i="1" s="1"/>
  <c r="Q24" i="1"/>
  <c r="R24" i="1" s="1"/>
  <c r="Q114" i="1"/>
  <c r="R114" i="1" s="1"/>
  <c r="Q92" i="1"/>
  <c r="R92" i="1" s="1"/>
  <c r="Q69" i="1"/>
  <c r="R69" i="1" s="1"/>
  <c r="Q50" i="1"/>
  <c r="R50" i="1" s="1"/>
  <c r="Q241" i="1"/>
  <c r="R241" i="1" s="1"/>
  <c r="Q225" i="1"/>
  <c r="R225" i="1" s="1"/>
  <c r="Q209" i="1"/>
  <c r="R209" i="1" s="1"/>
  <c r="Q193" i="1"/>
  <c r="R193" i="1" s="1"/>
  <c r="Q177" i="1"/>
  <c r="R177" i="1" s="1"/>
  <c r="Q161" i="1"/>
  <c r="R161" i="1" s="1"/>
  <c r="Q145" i="1"/>
  <c r="R145" i="1" s="1"/>
  <c r="Q358" i="1"/>
  <c r="R358" i="1" s="1"/>
  <c r="Q342" i="1"/>
  <c r="R342" i="1" s="1"/>
  <c r="Q326" i="1"/>
  <c r="R326" i="1" s="1"/>
  <c r="Q310" i="1"/>
  <c r="R310" i="1" s="1"/>
  <c r="Q294" i="1"/>
  <c r="R294" i="1" s="1"/>
  <c r="Q278" i="1"/>
  <c r="R278" i="1" s="1"/>
  <c r="Q262" i="1"/>
  <c r="R262" i="1" s="1"/>
  <c r="Q475" i="1"/>
  <c r="R475" i="1" s="1"/>
  <c r="Q459" i="1"/>
  <c r="R459" i="1" s="1"/>
  <c r="Q443" i="1"/>
  <c r="R443" i="1" s="1"/>
  <c r="Q428" i="1"/>
  <c r="R428" i="1" s="1"/>
  <c r="Q415" i="1"/>
  <c r="R415" i="1" s="1"/>
  <c r="Q399" i="1"/>
  <c r="R399" i="1" s="1"/>
  <c r="Q384" i="1"/>
  <c r="R384" i="1" s="1"/>
  <c r="Q600" i="1"/>
  <c r="R600" i="1" s="1"/>
  <c r="Q585" i="1"/>
  <c r="R585" i="1" s="1"/>
  <c r="Q569" i="1"/>
  <c r="R569" i="1" s="1"/>
  <c r="Q556" i="1"/>
  <c r="R556" i="1" s="1"/>
  <c r="Q540" i="1"/>
  <c r="R540" i="1" s="1"/>
  <c r="Q524" i="1"/>
  <c r="R524" i="1" s="1"/>
  <c r="Q508" i="1"/>
  <c r="R508" i="1" s="1"/>
  <c r="Q613" i="1"/>
  <c r="R613" i="1" s="1"/>
  <c r="Q649" i="1"/>
  <c r="R649" i="1" s="1"/>
  <c r="Q634" i="1"/>
  <c r="R634" i="1" s="1"/>
  <c r="Q618" i="1"/>
  <c r="R618" i="1" s="1"/>
  <c r="Q713" i="1"/>
  <c r="R713" i="1" s="1"/>
  <c r="Q698" i="1"/>
  <c r="R698" i="1" s="1"/>
  <c r="Q683" i="1"/>
  <c r="R683" i="1" s="1"/>
  <c r="Q669" i="1"/>
  <c r="R669" i="1" s="1"/>
  <c r="Q831" i="1"/>
  <c r="R831" i="1" s="1"/>
  <c r="Q802" i="1"/>
  <c r="R802" i="1" s="1"/>
  <c r="Q770" i="1"/>
  <c r="R770" i="1" s="1"/>
  <c r="Q755" i="1"/>
  <c r="R755" i="1" s="1"/>
  <c r="Q739" i="1"/>
  <c r="R739" i="1" s="1"/>
  <c r="Q952" i="1"/>
  <c r="R952" i="1" s="1"/>
  <c r="Q936" i="1"/>
  <c r="R936" i="1" s="1"/>
  <c r="Q921" i="1"/>
  <c r="R921" i="1" s="1"/>
  <c r="Q907" i="1"/>
  <c r="R907" i="1" s="1"/>
  <c r="Q891" i="1"/>
  <c r="R891" i="1" s="1"/>
  <c r="Q875" i="1"/>
  <c r="R875" i="1" s="1"/>
  <c r="Q859" i="1"/>
  <c r="R859" i="1" s="1"/>
  <c r="Q1076" i="1"/>
  <c r="R1076" i="1" s="1"/>
  <c r="Q1061" i="1"/>
  <c r="R1061" i="1" s="1"/>
  <c r="Q1045" i="1"/>
  <c r="R1045" i="1" s="1"/>
  <c r="Q1029" i="1"/>
  <c r="R1029" i="1" s="1"/>
  <c r="Q1013" i="1"/>
  <c r="R1013" i="1" s="1"/>
  <c r="Q998" i="1"/>
  <c r="R998" i="1" s="1"/>
  <c r="Q1197" i="1"/>
  <c r="R1197" i="1" s="1"/>
  <c r="Q1181" i="1"/>
  <c r="R1181" i="1" s="1"/>
  <c r="Q1165" i="1"/>
  <c r="R1165" i="1" s="1"/>
  <c r="Q893" i="1"/>
  <c r="R893" i="1" s="1"/>
  <c r="Q917" i="1"/>
  <c r="R917" i="1" s="1"/>
  <c r="Q949" i="1"/>
  <c r="R949" i="1" s="1"/>
  <c r="Q206" i="1"/>
  <c r="R206" i="1" s="1"/>
  <c r="Q339" i="1"/>
  <c r="R339" i="1" s="1"/>
  <c r="Q275" i="1"/>
  <c r="R275" i="1" s="1"/>
  <c r="Q259" i="1"/>
  <c r="R259" i="1" s="1"/>
  <c r="Q427" i="1"/>
  <c r="R427" i="1" s="1"/>
  <c r="Q412" i="1"/>
  <c r="R412" i="1" s="1"/>
  <c r="Q396" i="1"/>
  <c r="R396" i="1" s="1"/>
  <c r="Q383" i="1"/>
  <c r="R383" i="1" s="1"/>
  <c r="Q584" i="1"/>
  <c r="R584" i="1" s="1"/>
  <c r="Q568" i="1"/>
  <c r="R568" i="1" s="1"/>
  <c r="Q553" i="1"/>
  <c r="R553" i="1" s="1"/>
  <c r="Q537" i="1"/>
  <c r="R537" i="1" s="1"/>
  <c r="Q521" i="1"/>
  <c r="R521" i="1" s="1"/>
  <c r="Q505" i="1"/>
  <c r="R505" i="1" s="1"/>
  <c r="Q662" i="1"/>
  <c r="R662" i="1" s="1"/>
  <c r="Q646" i="1"/>
  <c r="R646" i="1" s="1"/>
  <c r="Q633" i="1"/>
  <c r="R633" i="1" s="1"/>
  <c r="Q711" i="1"/>
  <c r="R711" i="1" s="1"/>
  <c r="Q697" i="1"/>
  <c r="R697" i="1" s="1"/>
  <c r="Q682" i="1"/>
  <c r="R682" i="1" s="1"/>
  <c r="Q666" i="1"/>
  <c r="R666" i="1" s="1"/>
  <c r="Q830" i="1"/>
  <c r="R830" i="1" s="1"/>
  <c r="Q815" i="1"/>
  <c r="R815" i="1" s="1"/>
  <c r="Q799" i="1"/>
  <c r="R799" i="1" s="1"/>
  <c r="Q783" i="1"/>
  <c r="R783" i="1" s="1"/>
  <c r="Q754" i="1"/>
  <c r="R754" i="1" s="1"/>
  <c r="Q738" i="1"/>
  <c r="R738" i="1" s="1"/>
  <c r="Q951" i="1"/>
  <c r="R951" i="1" s="1"/>
  <c r="Q935" i="1"/>
  <c r="R935" i="1" s="1"/>
  <c r="Q920" i="1"/>
  <c r="R920" i="1" s="1"/>
  <c r="Q904" i="1"/>
  <c r="R904" i="1" s="1"/>
  <c r="Q888" i="1"/>
  <c r="R888" i="1" s="1"/>
  <c r="Q872" i="1"/>
  <c r="R872" i="1" s="1"/>
  <c r="Q857" i="1"/>
  <c r="R857" i="1" s="1"/>
  <c r="Q1073" i="1"/>
  <c r="R1073" i="1" s="1"/>
  <c r="Q1044" i="1"/>
  <c r="R1044" i="1" s="1"/>
  <c r="Q1028" i="1"/>
  <c r="R1028" i="1" s="1"/>
  <c r="Q1012" i="1"/>
  <c r="R1012" i="1" s="1"/>
  <c r="Q997" i="1"/>
  <c r="R997" i="1" s="1"/>
  <c r="Q981" i="1"/>
  <c r="R981" i="1" s="1"/>
  <c r="Q1194" i="1"/>
  <c r="R1194" i="1" s="1"/>
  <c r="Q1178" i="1"/>
  <c r="R1178" i="1" s="1"/>
  <c r="Q1163" i="1"/>
  <c r="R1163" i="1" s="1"/>
  <c r="Q1145" i="1"/>
  <c r="R1145" i="1" s="1"/>
  <c r="Q1122" i="1"/>
  <c r="R1122" i="1" s="1"/>
  <c r="Q1102" i="1"/>
  <c r="R1102" i="1" s="1"/>
  <c r="Q398" i="1"/>
  <c r="R398" i="1" s="1"/>
  <c r="Q659" i="1"/>
  <c r="R659" i="1" s="1"/>
  <c r="Q909" i="1"/>
  <c r="R909" i="1" s="1"/>
  <c r="Q68" i="1"/>
  <c r="R68" i="1" s="1"/>
  <c r="Q222" i="1"/>
  <c r="R222" i="1" s="1"/>
  <c r="Q174" i="1"/>
  <c r="R174" i="1" s="1"/>
  <c r="Q142" i="1"/>
  <c r="R142" i="1" s="1"/>
  <c r="Q307" i="1"/>
  <c r="R307" i="1" s="1"/>
  <c r="Q440" i="1"/>
  <c r="R440" i="1" s="1"/>
  <c r="Q18" i="1"/>
  <c r="R18" i="1" s="1"/>
  <c r="Q108" i="1"/>
  <c r="R108" i="1" s="1"/>
  <c r="Q85" i="1"/>
  <c r="R85" i="1" s="1"/>
  <c r="Q66" i="1"/>
  <c r="R66" i="1" s="1"/>
  <c r="Q44" i="1"/>
  <c r="R44" i="1" s="1"/>
  <c r="Q237" i="1"/>
  <c r="R237" i="1" s="1"/>
  <c r="Q221" i="1"/>
  <c r="R221" i="1" s="1"/>
  <c r="Q205" i="1"/>
  <c r="R205" i="1" s="1"/>
  <c r="Q189" i="1"/>
  <c r="R189" i="1" s="1"/>
  <c r="Q173" i="1"/>
  <c r="R173" i="1" s="1"/>
  <c r="Q157" i="1"/>
  <c r="R157" i="1" s="1"/>
  <c r="Q141" i="1"/>
  <c r="R141" i="1" s="1"/>
  <c r="Q354" i="1"/>
  <c r="R354" i="1" s="1"/>
  <c r="Q338" i="1"/>
  <c r="R338" i="1" s="1"/>
  <c r="Q322" i="1"/>
  <c r="R322" i="1" s="1"/>
  <c r="Q306" i="1"/>
  <c r="R306" i="1" s="1"/>
  <c r="Q274" i="1"/>
  <c r="R274" i="1" s="1"/>
  <c r="Q258" i="1"/>
  <c r="R258" i="1" s="1"/>
  <c r="Q471" i="1"/>
  <c r="R471" i="1" s="1"/>
  <c r="Q455" i="1"/>
  <c r="R455" i="1" s="1"/>
  <c r="Q439" i="1"/>
  <c r="R439" i="1" s="1"/>
  <c r="Q424" i="1"/>
  <c r="R424" i="1" s="1"/>
  <c r="Q411" i="1"/>
  <c r="R411" i="1" s="1"/>
  <c r="Q380" i="1"/>
  <c r="R380" i="1" s="1"/>
  <c r="Q596" i="1"/>
  <c r="R596" i="1" s="1"/>
  <c r="Q552" i="1"/>
  <c r="R552" i="1" s="1"/>
  <c r="Q536" i="1"/>
  <c r="R536" i="1" s="1"/>
  <c r="Q661" i="1"/>
  <c r="R661" i="1" s="1"/>
  <c r="Q645" i="1"/>
  <c r="R645" i="1" s="1"/>
  <c r="Q630" i="1"/>
  <c r="R630" i="1" s="1"/>
  <c r="Q614" i="1"/>
  <c r="R614" i="1" s="1"/>
  <c r="Q710" i="1"/>
  <c r="R710" i="1" s="1"/>
  <c r="Q694" i="1"/>
  <c r="R694" i="1" s="1"/>
  <c r="Q681" i="1"/>
  <c r="R681" i="1" s="1"/>
  <c r="Q665" i="1"/>
  <c r="R665" i="1" s="1"/>
  <c r="Q827" i="1"/>
  <c r="R827" i="1" s="1"/>
  <c r="Q814" i="1"/>
  <c r="R814" i="1" s="1"/>
  <c r="Q798" i="1"/>
  <c r="R798" i="1" s="1"/>
  <c r="Q782" i="1"/>
  <c r="R782" i="1" s="1"/>
  <c r="Q766" i="1"/>
  <c r="R766" i="1" s="1"/>
  <c r="Q751" i="1"/>
  <c r="R751" i="1" s="1"/>
  <c r="Q735" i="1"/>
  <c r="R735" i="1" s="1"/>
  <c r="Q948" i="1"/>
  <c r="R948" i="1" s="1"/>
  <c r="Q932" i="1"/>
  <c r="R932" i="1" s="1"/>
  <c r="Q919" i="1"/>
  <c r="R919" i="1" s="1"/>
  <c r="Q856" i="1"/>
  <c r="R856" i="1" s="1"/>
  <c r="Q1057" i="1"/>
  <c r="R1057" i="1" s="1"/>
  <c r="Q1041" i="1"/>
  <c r="R1041" i="1" s="1"/>
  <c r="Q996" i="1"/>
  <c r="R996" i="1" s="1"/>
  <c r="Q980" i="1"/>
  <c r="R980" i="1" s="1"/>
  <c r="Q1094" i="1"/>
  <c r="R1094" i="1" s="1"/>
  <c r="Q664" i="1"/>
  <c r="R664" i="1" s="1"/>
  <c r="Q901" i="1"/>
  <c r="R901" i="1" s="1"/>
  <c r="Q941" i="1"/>
  <c r="R941" i="1" s="1"/>
  <c r="Q957" i="1"/>
  <c r="R957" i="1" s="1"/>
  <c r="Q1191" i="1"/>
  <c r="R1191" i="1" s="1"/>
  <c r="Q45" i="1"/>
  <c r="R45" i="1" s="1"/>
  <c r="Q158" i="1"/>
  <c r="R158" i="1" s="1"/>
  <c r="Q323" i="1"/>
  <c r="R323" i="1" s="1"/>
  <c r="Q472" i="1"/>
  <c r="R472" i="1" s="1"/>
  <c r="Q17" i="1"/>
  <c r="R17" i="1" s="1"/>
  <c r="Q106" i="1"/>
  <c r="R106" i="1" s="1"/>
  <c r="Q84" i="1"/>
  <c r="R84" i="1" s="1"/>
  <c r="Q61" i="1"/>
  <c r="R61" i="1" s="1"/>
  <c r="Q42" i="1"/>
  <c r="R42" i="1" s="1"/>
  <c r="Q234" i="1"/>
  <c r="R234" i="1" s="1"/>
  <c r="Q218" i="1"/>
  <c r="R218" i="1" s="1"/>
  <c r="Q202" i="1"/>
  <c r="R202" i="1" s="1"/>
  <c r="Q186" i="1"/>
  <c r="R186" i="1" s="1"/>
  <c r="Q170" i="1"/>
  <c r="R170" i="1" s="1"/>
  <c r="Q154" i="1"/>
  <c r="R154" i="1" s="1"/>
  <c r="Q138" i="1"/>
  <c r="R138" i="1" s="1"/>
  <c r="Q351" i="1"/>
  <c r="R351" i="1" s="1"/>
  <c r="Q335" i="1"/>
  <c r="R335" i="1" s="1"/>
  <c r="Q319" i="1"/>
  <c r="R319" i="1" s="1"/>
  <c r="Q303" i="1"/>
  <c r="R303" i="1" s="1"/>
  <c r="Q287" i="1"/>
  <c r="R287" i="1" s="1"/>
  <c r="Q271" i="1"/>
  <c r="R271" i="1" s="1"/>
  <c r="Q255" i="1"/>
  <c r="R255" i="1" s="1"/>
  <c r="Q468" i="1"/>
  <c r="R468" i="1" s="1"/>
  <c r="Q436" i="1"/>
  <c r="R436" i="1" s="1"/>
  <c r="Q423" i="1"/>
  <c r="R423" i="1" s="1"/>
  <c r="Q408" i="1"/>
  <c r="R408" i="1" s="1"/>
  <c r="Q392" i="1"/>
  <c r="R392" i="1" s="1"/>
  <c r="Q593" i="1"/>
  <c r="R593" i="1" s="1"/>
  <c r="Q580" i="1"/>
  <c r="R580" i="1" s="1"/>
  <c r="Q564" i="1"/>
  <c r="R564" i="1" s="1"/>
  <c r="Q658" i="1"/>
  <c r="R658" i="1" s="1"/>
  <c r="Q642" i="1"/>
  <c r="R642" i="1" s="1"/>
  <c r="Q629" i="1"/>
  <c r="R629" i="1" s="1"/>
  <c r="Q721" i="1"/>
  <c r="R721" i="1" s="1"/>
  <c r="Q709" i="1"/>
  <c r="R709" i="1" s="1"/>
  <c r="Q693" i="1"/>
  <c r="R693" i="1" s="1"/>
  <c r="Q678" i="1"/>
  <c r="R678" i="1" s="1"/>
  <c r="Q733" i="1"/>
  <c r="R733" i="1" s="1"/>
  <c r="Q826" i="1"/>
  <c r="R826" i="1" s="1"/>
  <c r="Q811" i="1"/>
  <c r="R811" i="1" s="1"/>
  <c r="Q795" i="1"/>
  <c r="R795" i="1" s="1"/>
  <c r="Q779" i="1"/>
  <c r="R779" i="1" s="1"/>
  <c r="Q763" i="1"/>
  <c r="R763" i="1" s="1"/>
  <c r="Q750" i="1"/>
  <c r="R750" i="1" s="1"/>
  <c r="Q734" i="1"/>
  <c r="R734" i="1" s="1"/>
  <c r="Q947" i="1"/>
  <c r="R947" i="1" s="1"/>
  <c r="Q931" i="1"/>
  <c r="R931" i="1" s="1"/>
  <c r="Q916" i="1"/>
  <c r="R916" i="1" s="1"/>
  <c r="Q900" i="1"/>
  <c r="R900" i="1" s="1"/>
  <c r="Q884" i="1"/>
  <c r="R884" i="1" s="1"/>
  <c r="Q1069" i="1"/>
  <c r="R1069" i="1" s="1"/>
  <c r="S456" i="1"/>
  <c r="Q438" i="1"/>
  <c r="R438" i="1" s="1"/>
  <c r="Q454" i="1"/>
  <c r="R454" i="1" s="1"/>
  <c r="Q619" i="1"/>
  <c r="R619" i="1" s="1"/>
  <c r="Q925" i="1"/>
  <c r="R925" i="1" s="1"/>
  <c r="Q1183" i="1"/>
  <c r="R1183" i="1" s="1"/>
  <c r="Q109" i="1"/>
  <c r="R109" i="1" s="1"/>
  <c r="Q238" i="1"/>
  <c r="R238" i="1" s="1"/>
  <c r="Q190" i="1"/>
  <c r="R190" i="1" s="1"/>
  <c r="Q355" i="1"/>
  <c r="R355" i="1" s="1"/>
  <c r="Q291" i="1"/>
  <c r="R291" i="1" s="1"/>
  <c r="Q456" i="1"/>
  <c r="R456" i="1" s="1"/>
  <c r="Q16" i="1"/>
  <c r="R16" i="1" s="1"/>
  <c r="Q101" i="1"/>
  <c r="R101" i="1" s="1"/>
  <c r="Q82" i="1"/>
  <c r="R82" i="1" s="1"/>
  <c r="Q60" i="1"/>
  <c r="R60" i="1" s="1"/>
  <c r="Q37" i="1"/>
  <c r="R37" i="1" s="1"/>
  <c r="Q233" i="1"/>
  <c r="R233" i="1" s="1"/>
  <c r="Q217" i="1"/>
  <c r="R217" i="1" s="1"/>
  <c r="Q201" i="1"/>
  <c r="R201" i="1" s="1"/>
  <c r="Q185" i="1"/>
  <c r="R185" i="1" s="1"/>
  <c r="Q169" i="1"/>
  <c r="R169" i="1" s="1"/>
  <c r="Q153" i="1"/>
  <c r="R153" i="1" s="1"/>
  <c r="Q137" i="1"/>
  <c r="R137" i="1" s="1"/>
  <c r="Q350" i="1"/>
  <c r="R350" i="1" s="1"/>
  <c r="Q334" i="1"/>
  <c r="R334" i="1" s="1"/>
  <c r="Q318" i="1"/>
  <c r="R318" i="1" s="1"/>
  <c r="Q302" i="1"/>
  <c r="R302" i="1" s="1"/>
  <c r="Q286" i="1"/>
  <c r="R286" i="1" s="1"/>
  <c r="Q270" i="1"/>
  <c r="R270" i="1" s="1"/>
  <c r="Q254" i="1"/>
  <c r="R254" i="1" s="1"/>
  <c r="Q467" i="1"/>
  <c r="R467" i="1" s="1"/>
  <c r="Q451" i="1"/>
  <c r="R451" i="1" s="1"/>
  <c r="Q435" i="1"/>
  <c r="R435" i="1" s="1"/>
  <c r="Q421" i="1"/>
  <c r="R421" i="1" s="1"/>
  <c r="Q407" i="1"/>
  <c r="R407" i="1" s="1"/>
  <c r="Q391" i="1"/>
  <c r="R391" i="1" s="1"/>
  <c r="Q577" i="1"/>
  <c r="R577" i="1" s="1"/>
  <c r="Q562" i="1"/>
  <c r="R562" i="1" s="1"/>
  <c r="Q657" i="1"/>
  <c r="R657" i="1" s="1"/>
  <c r="Q641" i="1"/>
  <c r="R641" i="1" s="1"/>
  <c r="Q626" i="1"/>
  <c r="R626" i="1" s="1"/>
  <c r="Q720" i="1"/>
  <c r="R720" i="1" s="1"/>
  <c r="Q706" i="1"/>
  <c r="R706" i="1" s="1"/>
  <c r="Q690" i="1"/>
  <c r="R690" i="1" s="1"/>
  <c r="Q677" i="1"/>
  <c r="R677" i="1" s="1"/>
  <c r="Q839" i="1"/>
  <c r="R839" i="1" s="1"/>
  <c r="Q823" i="1"/>
  <c r="R823" i="1" s="1"/>
  <c r="Q810" i="1"/>
  <c r="R810" i="1" s="1"/>
  <c r="Q794" i="1"/>
  <c r="R794" i="1" s="1"/>
  <c r="Q778" i="1"/>
  <c r="R778" i="1" s="1"/>
  <c r="Q762" i="1"/>
  <c r="R762" i="1" s="1"/>
  <c r="Q747" i="1"/>
  <c r="R747" i="1" s="1"/>
  <c r="Q960" i="1"/>
  <c r="R960" i="1" s="1"/>
  <c r="Q944" i="1"/>
  <c r="R944" i="1" s="1"/>
  <c r="Q928" i="1"/>
  <c r="R928" i="1" s="1"/>
  <c r="Q915" i="1"/>
  <c r="R915" i="1" s="1"/>
  <c r="Q899" i="1"/>
  <c r="R899" i="1" s="1"/>
  <c r="Q883" i="1"/>
  <c r="R883" i="1" s="1"/>
  <c r="Q867" i="1"/>
  <c r="R867" i="1" s="1"/>
  <c r="Q854" i="1"/>
  <c r="R854" i="1" s="1"/>
  <c r="Q1068" i="1"/>
  <c r="R1068" i="1" s="1"/>
  <c r="Q1053" i="1"/>
  <c r="R1053" i="1" s="1"/>
  <c r="Q1189" i="1"/>
  <c r="R1189" i="1" s="1"/>
  <c r="S100" i="1"/>
  <c r="Q651" i="1"/>
  <c r="R651" i="1" s="1"/>
  <c r="Q973" i="1"/>
  <c r="R973" i="1" s="1"/>
  <c r="Q13" i="1"/>
  <c r="R13" i="1" s="1"/>
  <c r="Q120" i="1"/>
  <c r="R120" i="1" s="1"/>
  <c r="Q100" i="1"/>
  <c r="R100" i="1" s="1"/>
  <c r="Q77" i="1"/>
  <c r="R77" i="1" s="1"/>
  <c r="Q58" i="1"/>
  <c r="R58" i="1" s="1"/>
  <c r="Q36" i="1"/>
  <c r="R36" i="1" s="1"/>
  <c r="Q230" i="1"/>
  <c r="R230" i="1" s="1"/>
  <c r="Q214" i="1"/>
  <c r="R214" i="1" s="1"/>
  <c r="Q198" i="1"/>
  <c r="R198" i="1" s="1"/>
  <c r="Q182" i="1"/>
  <c r="R182" i="1" s="1"/>
  <c r="Q166" i="1"/>
  <c r="R166" i="1" s="1"/>
  <c r="Q150" i="1"/>
  <c r="R150" i="1" s="1"/>
  <c r="Q134" i="1"/>
  <c r="R134" i="1" s="1"/>
  <c r="Q347" i="1"/>
  <c r="R347" i="1" s="1"/>
  <c r="Q331" i="1"/>
  <c r="R331" i="1" s="1"/>
  <c r="Q315" i="1"/>
  <c r="R315" i="1" s="1"/>
  <c r="Q299" i="1"/>
  <c r="R299" i="1" s="1"/>
  <c r="Q480" i="1"/>
  <c r="R480" i="1" s="1"/>
  <c r="Q464" i="1"/>
  <c r="R464" i="1" s="1"/>
  <c r="Q448" i="1"/>
  <c r="R448" i="1" s="1"/>
  <c r="Q432" i="1"/>
  <c r="R432" i="1" s="1"/>
  <c r="Q420" i="1"/>
  <c r="R420" i="1" s="1"/>
  <c r="Q404" i="1"/>
  <c r="R404" i="1" s="1"/>
  <c r="Q389" i="1"/>
  <c r="R389" i="1" s="1"/>
  <c r="Q375" i="1"/>
  <c r="R375" i="1" s="1"/>
  <c r="Q589" i="1"/>
  <c r="R589" i="1" s="1"/>
  <c r="Q576" i="1"/>
  <c r="R576" i="1" s="1"/>
  <c r="Q561" i="1"/>
  <c r="R561" i="1" s="1"/>
  <c r="Q545" i="1"/>
  <c r="R545" i="1" s="1"/>
  <c r="Q529" i="1"/>
  <c r="R529" i="1" s="1"/>
  <c r="Q513" i="1"/>
  <c r="R513" i="1" s="1"/>
  <c r="Q654" i="1"/>
  <c r="R654" i="1" s="1"/>
  <c r="Q639" i="1"/>
  <c r="R639" i="1" s="1"/>
  <c r="Q625" i="1"/>
  <c r="R625" i="1" s="1"/>
  <c r="Q718" i="1"/>
  <c r="R718" i="1" s="1"/>
  <c r="Q705" i="1"/>
  <c r="R705" i="1" s="1"/>
  <c r="Q689" i="1"/>
  <c r="R689" i="1" s="1"/>
  <c r="Q674" i="1"/>
  <c r="R674" i="1" s="1"/>
  <c r="Q838" i="1"/>
  <c r="R838" i="1" s="1"/>
  <c r="Q822" i="1"/>
  <c r="R822" i="1" s="1"/>
  <c r="Q807" i="1"/>
  <c r="R807" i="1" s="1"/>
  <c r="Q791" i="1"/>
  <c r="R791" i="1" s="1"/>
  <c r="Q775" i="1"/>
  <c r="R775" i="1" s="1"/>
  <c r="Q759" i="1"/>
  <c r="R759" i="1" s="1"/>
  <c r="Q959" i="1"/>
  <c r="R959" i="1" s="1"/>
  <c r="Q943" i="1"/>
  <c r="R943" i="1" s="1"/>
  <c r="Q927" i="1"/>
  <c r="R927" i="1" s="1"/>
  <c r="Q912" i="1"/>
  <c r="R912" i="1" s="1"/>
  <c r="Q896" i="1"/>
  <c r="R896" i="1" s="1"/>
  <c r="Q880" i="1"/>
  <c r="R880" i="1" s="1"/>
  <c r="Q1081" i="1"/>
  <c r="R1081" i="1" s="1"/>
  <c r="Q1065" i="1"/>
  <c r="R1065" i="1" s="1"/>
  <c r="Q1052" i="1"/>
  <c r="R1052" i="1" s="1"/>
  <c r="Q1004" i="1"/>
  <c r="R1004" i="1" s="1"/>
  <c r="Q1186" i="1"/>
  <c r="R1186" i="1" s="1"/>
  <c r="Q1170" i="1"/>
  <c r="R1170" i="1" s="1"/>
  <c r="Q1154" i="1"/>
  <c r="R1154" i="1" s="1"/>
  <c r="Q1134" i="1"/>
  <c r="R1134" i="1" s="1"/>
  <c r="Q1113" i="1"/>
  <c r="R1113" i="1" s="1"/>
  <c r="Q668" i="1"/>
  <c r="R668" i="1" s="1"/>
  <c r="Q692" i="1"/>
  <c r="R692" i="1" s="1"/>
  <c r="Q716" i="1"/>
  <c r="R716" i="1" s="1"/>
  <c r="Q632" i="1"/>
  <c r="R632" i="1" s="1"/>
  <c r="Q656" i="1"/>
  <c r="R656" i="1" s="1"/>
  <c r="Q741" i="1"/>
  <c r="R741" i="1" s="1"/>
  <c r="Q765" i="1"/>
  <c r="R765" i="1" s="1"/>
  <c r="Q789" i="1"/>
  <c r="R789" i="1" s="1"/>
  <c r="Q813" i="1"/>
  <c r="R813" i="1" s="1"/>
  <c r="Q837" i="1"/>
  <c r="R837" i="1" s="1"/>
  <c r="Q861" i="1"/>
  <c r="R861" i="1" s="1"/>
  <c r="Q753" i="1"/>
  <c r="R753" i="1" s="1"/>
  <c r="Q777" i="1"/>
  <c r="R777" i="1" s="1"/>
  <c r="Q801" i="1"/>
  <c r="R801" i="1" s="1"/>
  <c r="Q825" i="1"/>
  <c r="R825" i="1" s="1"/>
  <c r="Q853" i="1"/>
  <c r="R853" i="1" s="1"/>
  <c r="Q757" i="1"/>
  <c r="R757" i="1" s="1"/>
  <c r="Q781" i="1"/>
  <c r="R781" i="1" s="1"/>
  <c r="Q805" i="1"/>
  <c r="R805" i="1" s="1"/>
  <c r="Q829" i="1"/>
  <c r="R829" i="1" s="1"/>
  <c r="Q877" i="1"/>
  <c r="R877" i="1" s="1"/>
  <c r="Q745" i="1"/>
  <c r="R745" i="1" s="1"/>
  <c r="Q769" i="1"/>
  <c r="R769" i="1" s="1"/>
  <c r="Q793" i="1"/>
  <c r="R793" i="1" s="1"/>
  <c r="Q817" i="1"/>
  <c r="R817" i="1" s="1"/>
  <c r="Q841" i="1"/>
  <c r="R841" i="1" s="1"/>
  <c r="Q994" i="1"/>
  <c r="R994" i="1" s="1"/>
  <c r="Q1002" i="1"/>
  <c r="R1002" i="1" s="1"/>
  <c r="Q975" i="1"/>
  <c r="R975" i="1" s="1"/>
  <c r="Q999" i="1"/>
  <c r="R999" i="1" s="1"/>
  <c r="Q1023" i="1"/>
  <c r="R1023" i="1" s="1"/>
  <c r="Q1047" i="1"/>
  <c r="R1047" i="1" s="1"/>
  <c r="Q1071" i="1"/>
  <c r="R1071" i="1" s="1"/>
  <c r="Q1095" i="1"/>
  <c r="R1095" i="1" s="1"/>
  <c r="Q987" i="1"/>
  <c r="R987" i="1" s="1"/>
  <c r="Q1011" i="1"/>
  <c r="R1011" i="1" s="1"/>
  <c r="Q1035" i="1"/>
  <c r="R1035" i="1" s="1"/>
  <c r="Q1059" i="1"/>
  <c r="R1059" i="1" s="1"/>
  <c r="Q983" i="1"/>
  <c r="R983" i="1" s="1"/>
  <c r="Q1007" i="1"/>
  <c r="R1007" i="1" s="1"/>
  <c r="Q1031" i="1"/>
  <c r="R1031" i="1" s="1"/>
  <c r="Q1055" i="1"/>
  <c r="R1055" i="1" s="1"/>
  <c r="Q1079" i="1"/>
  <c r="R1079" i="1" s="1"/>
  <c r="Q995" i="1"/>
  <c r="R995" i="1" s="1"/>
  <c r="Q1019" i="1"/>
  <c r="R1019" i="1" s="1"/>
  <c r="Q1043" i="1"/>
  <c r="R1043" i="1" s="1"/>
  <c r="Q1067" i="1"/>
  <c r="R1067" i="1" s="1"/>
  <c r="Q991" i="1"/>
  <c r="R991" i="1" s="1"/>
  <c r="Q1015" i="1"/>
  <c r="R1015" i="1" s="1"/>
  <c r="Q1039" i="1"/>
  <c r="R1039" i="1" s="1"/>
  <c r="Q1063" i="1"/>
  <c r="R1063" i="1" s="1"/>
  <c r="Q979" i="1"/>
  <c r="R979" i="1" s="1"/>
  <c r="Q1003" i="1"/>
  <c r="R1003" i="1" s="1"/>
  <c r="Q1027" i="1"/>
  <c r="R1027" i="1" s="1"/>
  <c r="Q1051" i="1"/>
  <c r="R1051" i="1" s="1"/>
  <c r="Q1075" i="1"/>
  <c r="R1075" i="1" s="1"/>
  <c r="Q1111" i="1"/>
  <c r="R1111" i="1" s="1"/>
  <c r="Q1107" i="1"/>
  <c r="R1107" i="1" s="1"/>
  <c r="Q1119" i="1"/>
  <c r="R1119" i="1" s="1"/>
  <c r="Q1115" i="1"/>
  <c r="R1115" i="1" s="1"/>
  <c r="Q1127" i="1"/>
  <c r="R1127" i="1" s="1"/>
  <c r="Q1131" i="1"/>
  <c r="R1131" i="1" s="1"/>
  <c r="Q1143" i="1"/>
  <c r="R1143" i="1" s="1"/>
  <c r="Q1139" i="1"/>
  <c r="R1139" i="1" s="1"/>
  <c r="Q1151" i="1"/>
  <c r="R1151" i="1" s="1"/>
  <c r="Q1147" i="1"/>
  <c r="R1147" i="1" s="1"/>
  <c r="Q1159" i="1"/>
  <c r="R1159" i="1" s="1"/>
  <c r="Q1155" i="1"/>
  <c r="R1155" i="1" s="1"/>
  <c r="Q1167" i="1"/>
  <c r="R1167" i="1" s="1"/>
  <c r="Q1180" i="1"/>
  <c r="R1180" i="1" s="1"/>
  <c r="Q1156" i="1"/>
  <c r="R1156" i="1" s="1"/>
  <c r="Q1120" i="1"/>
  <c r="R1120" i="1" s="1"/>
  <c r="Q1168" i="1"/>
  <c r="R1168" i="1" s="1"/>
  <c r="Q1192" i="1"/>
  <c r="R1192" i="1" s="1"/>
  <c r="Q1096" i="1"/>
  <c r="R1096" i="1" s="1"/>
  <c r="Q1144" i="1"/>
  <c r="R1144" i="1" s="1"/>
  <c r="Q1104" i="1"/>
  <c r="R1104" i="1" s="1"/>
  <c r="Q1164" i="1"/>
  <c r="R1164" i="1" s="1"/>
  <c r="Q1188" i="1"/>
  <c r="R1188" i="1" s="1"/>
  <c r="Q1128" i="1"/>
  <c r="R1128" i="1" s="1"/>
  <c r="Q1176" i="1"/>
  <c r="R1176" i="1" s="1"/>
  <c r="Q1200" i="1"/>
  <c r="R1200" i="1" s="1"/>
  <c r="Q1152" i="1"/>
  <c r="R1152" i="1" s="1"/>
  <c r="Q1136" i="1"/>
  <c r="R1136" i="1" s="1"/>
  <c r="Q1172" i="1"/>
  <c r="R1172" i="1" s="1"/>
  <c r="Q1196" i="1"/>
  <c r="R1196" i="1" s="1"/>
  <c r="Q1148" i="1"/>
  <c r="R1148" i="1" s="1"/>
  <c r="Q1160" i="1"/>
  <c r="R1160" i="1" s="1"/>
  <c r="Q1184" i="1"/>
  <c r="R1184" i="1" s="1"/>
  <c r="Q1112" i="1"/>
  <c r="R1112" i="1" s="1"/>
  <c r="Q115" i="1"/>
  <c r="R115" i="1" s="1"/>
  <c r="Q99" i="1"/>
  <c r="R99" i="1" s="1"/>
  <c r="Q83" i="1"/>
  <c r="R83" i="1" s="1"/>
  <c r="Q67" i="1"/>
  <c r="R67" i="1" s="1"/>
  <c r="Q51" i="1"/>
  <c r="R51" i="1" s="1"/>
  <c r="Q35" i="1"/>
  <c r="R35" i="1" s="1"/>
  <c r="Q236" i="1"/>
  <c r="R236" i="1" s="1"/>
  <c r="Q228" i="1"/>
  <c r="R228" i="1" s="1"/>
  <c r="Q220" i="1"/>
  <c r="R220" i="1" s="1"/>
  <c r="Q212" i="1"/>
  <c r="R212" i="1" s="1"/>
  <c r="Q204" i="1"/>
  <c r="R204" i="1" s="1"/>
  <c r="Q196" i="1"/>
  <c r="R196" i="1" s="1"/>
  <c r="Q188" i="1"/>
  <c r="R188" i="1" s="1"/>
  <c r="Q180" i="1"/>
  <c r="R180" i="1" s="1"/>
  <c r="Q172" i="1"/>
  <c r="R172" i="1" s="1"/>
  <c r="Q164" i="1"/>
  <c r="R164" i="1" s="1"/>
  <c r="Q156" i="1"/>
  <c r="R156" i="1" s="1"/>
  <c r="Q148" i="1"/>
  <c r="R148" i="1" s="1"/>
  <c r="Q140" i="1"/>
  <c r="R140" i="1" s="1"/>
  <c r="Q361" i="1"/>
  <c r="R361" i="1" s="1"/>
  <c r="Q353" i="1"/>
  <c r="R353" i="1" s="1"/>
  <c r="Q345" i="1"/>
  <c r="R345" i="1" s="1"/>
  <c r="Q337" i="1"/>
  <c r="R337" i="1" s="1"/>
  <c r="Q329" i="1"/>
  <c r="R329" i="1" s="1"/>
  <c r="Q321" i="1"/>
  <c r="R321" i="1" s="1"/>
  <c r="Q313" i="1"/>
  <c r="R313" i="1" s="1"/>
  <c r="Q305" i="1"/>
  <c r="R305" i="1" s="1"/>
  <c r="Q297" i="1"/>
  <c r="R297" i="1" s="1"/>
  <c r="Q289" i="1"/>
  <c r="R289" i="1" s="1"/>
  <c r="Q281" i="1"/>
  <c r="R281" i="1" s="1"/>
  <c r="Q273" i="1"/>
  <c r="R273" i="1" s="1"/>
  <c r="Q265" i="1"/>
  <c r="R265" i="1" s="1"/>
  <c r="Q257" i="1"/>
  <c r="R257" i="1" s="1"/>
  <c r="Q478" i="1"/>
  <c r="R478" i="1" s="1"/>
  <c r="Q470" i="1"/>
  <c r="R470" i="1" s="1"/>
  <c r="Q462" i="1"/>
  <c r="R462" i="1" s="1"/>
  <c r="Q446" i="1"/>
  <c r="R446" i="1" s="1"/>
  <c r="Q429" i="1"/>
  <c r="R429" i="1" s="1"/>
  <c r="Q595" i="1"/>
  <c r="R595" i="1" s="1"/>
  <c r="Q522" i="1"/>
  <c r="R522" i="1" s="1"/>
  <c r="Q647" i="1"/>
  <c r="R647" i="1" s="1"/>
  <c r="Q620" i="1"/>
  <c r="R620" i="1" s="1"/>
  <c r="Q691" i="1"/>
  <c r="R691" i="1" s="1"/>
  <c r="Q780" i="1"/>
  <c r="R780" i="1" s="1"/>
  <c r="Q945" i="1"/>
  <c r="R945" i="1" s="1"/>
  <c r="Q881" i="1"/>
  <c r="R881" i="1" s="1"/>
  <c r="Q1022" i="1"/>
  <c r="R1022" i="1" s="1"/>
  <c r="Q1187" i="1"/>
  <c r="R1187" i="1" s="1"/>
  <c r="Q1123" i="1"/>
  <c r="R1123" i="1" s="1"/>
  <c r="Q507" i="1"/>
  <c r="R507" i="1" s="1"/>
  <c r="Q531" i="1"/>
  <c r="R531" i="1" s="1"/>
  <c r="Q555" i="1"/>
  <c r="R555" i="1" s="1"/>
  <c r="Q495" i="1"/>
  <c r="R495" i="1" s="1"/>
  <c r="Q519" i="1"/>
  <c r="R519" i="1" s="1"/>
  <c r="Q543" i="1"/>
  <c r="R543" i="1" s="1"/>
  <c r="Q567" i="1"/>
  <c r="R567" i="1" s="1"/>
  <c r="Q591" i="1"/>
  <c r="R591" i="1" s="1"/>
  <c r="Q736" i="1"/>
  <c r="R736" i="1" s="1"/>
  <c r="Q676" i="1"/>
  <c r="R676" i="1" s="1"/>
  <c r="Q700" i="1"/>
  <c r="R700" i="1" s="1"/>
  <c r="Q616" i="1"/>
  <c r="R616" i="1" s="1"/>
  <c r="Q640" i="1"/>
  <c r="R640" i="1" s="1"/>
  <c r="Q744" i="1"/>
  <c r="R744" i="1" s="1"/>
  <c r="Q684" i="1"/>
  <c r="R684" i="1" s="1"/>
  <c r="Q708" i="1"/>
  <c r="R708" i="1" s="1"/>
  <c r="Q624" i="1"/>
  <c r="R624" i="1" s="1"/>
  <c r="Q648" i="1"/>
  <c r="R648" i="1" s="1"/>
  <c r="Q874" i="1"/>
  <c r="R874" i="1" s="1"/>
  <c r="Q898" i="1"/>
  <c r="R898" i="1" s="1"/>
  <c r="Q922" i="1"/>
  <c r="R922" i="1" s="1"/>
  <c r="Q946" i="1"/>
  <c r="R946" i="1" s="1"/>
  <c r="Q862" i="1"/>
  <c r="R862" i="1" s="1"/>
  <c r="Q886" i="1"/>
  <c r="R886" i="1" s="1"/>
  <c r="Q910" i="1"/>
  <c r="R910" i="1" s="1"/>
  <c r="Q934" i="1"/>
  <c r="R934" i="1" s="1"/>
  <c r="Q958" i="1"/>
  <c r="R958" i="1" s="1"/>
  <c r="Q858" i="1"/>
  <c r="R858" i="1" s="1"/>
  <c r="Q882" i="1"/>
  <c r="R882" i="1" s="1"/>
  <c r="Q906" i="1"/>
  <c r="R906" i="1" s="1"/>
  <c r="Q930" i="1"/>
  <c r="R930" i="1" s="1"/>
  <c r="Q954" i="1"/>
  <c r="R954" i="1" s="1"/>
  <c r="Q978" i="1"/>
  <c r="R978" i="1" s="1"/>
  <c r="Q870" i="1"/>
  <c r="R870" i="1" s="1"/>
  <c r="Q894" i="1"/>
  <c r="R894" i="1" s="1"/>
  <c r="Q918" i="1"/>
  <c r="R918" i="1" s="1"/>
  <c r="Q942" i="1"/>
  <c r="R942" i="1" s="1"/>
  <c r="Q866" i="1"/>
  <c r="R866" i="1" s="1"/>
  <c r="Q890" i="1"/>
  <c r="R890" i="1" s="1"/>
  <c r="Q914" i="1"/>
  <c r="R914" i="1" s="1"/>
  <c r="Q938" i="1"/>
  <c r="R938" i="1" s="1"/>
  <c r="Q986" i="1"/>
  <c r="R986" i="1" s="1"/>
  <c r="Q878" i="1"/>
  <c r="R878" i="1" s="1"/>
  <c r="Q902" i="1"/>
  <c r="R902" i="1" s="1"/>
  <c r="Q926" i="1"/>
  <c r="R926" i="1" s="1"/>
  <c r="Q950" i="1"/>
  <c r="R950" i="1" s="1"/>
  <c r="Q227" i="1"/>
  <c r="R227" i="1" s="1"/>
  <c r="Q219" i="1"/>
  <c r="R219" i="1" s="1"/>
  <c r="Q211" i="1"/>
  <c r="R211" i="1" s="1"/>
  <c r="Q203" i="1"/>
  <c r="R203" i="1" s="1"/>
  <c r="Q195" i="1"/>
  <c r="R195" i="1" s="1"/>
  <c r="Q187" i="1"/>
  <c r="R187" i="1" s="1"/>
  <c r="Q179" i="1"/>
  <c r="R179" i="1" s="1"/>
  <c r="Q171" i="1"/>
  <c r="R171" i="1" s="1"/>
  <c r="Q163" i="1"/>
  <c r="R163" i="1" s="1"/>
  <c r="Q155" i="1"/>
  <c r="R155" i="1" s="1"/>
  <c r="Q147" i="1"/>
  <c r="R147" i="1" s="1"/>
  <c r="Q139" i="1"/>
  <c r="R139" i="1" s="1"/>
  <c r="Q360" i="1"/>
  <c r="R360" i="1" s="1"/>
  <c r="Q352" i="1"/>
  <c r="R352" i="1" s="1"/>
  <c r="Q344" i="1"/>
  <c r="R344" i="1" s="1"/>
  <c r="Q336" i="1"/>
  <c r="R336" i="1" s="1"/>
  <c r="Q328" i="1"/>
  <c r="R328" i="1" s="1"/>
  <c r="Q320" i="1"/>
  <c r="R320" i="1" s="1"/>
  <c r="Q312" i="1"/>
  <c r="R312" i="1" s="1"/>
  <c r="Q304" i="1"/>
  <c r="R304" i="1" s="1"/>
  <c r="Q296" i="1"/>
  <c r="R296" i="1" s="1"/>
  <c r="Q288" i="1"/>
  <c r="R288" i="1" s="1"/>
  <c r="Q280" i="1"/>
  <c r="R280" i="1" s="1"/>
  <c r="Q272" i="1"/>
  <c r="R272" i="1" s="1"/>
  <c r="Q264" i="1"/>
  <c r="R264" i="1" s="1"/>
  <c r="Q256" i="1"/>
  <c r="R256" i="1" s="1"/>
  <c r="Q469" i="1"/>
  <c r="R469" i="1" s="1"/>
  <c r="Q461" i="1"/>
  <c r="R461" i="1" s="1"/>
  <c r="Q453" i="1"/>
  <c r="R453" i="1" s="1"/>
  <c r="Q445" i="1"/>
  <c r="R445" i="1" s="1"/>
  <c r="Q437" i="1"/>
  <c r="R437" i="1" s="1"/>
  <c r="Q397" i="1"/>
  <c r="R397" i="1" s="1"/>
  <c r="Q594" i="1"/>
  <c r="R594" i="1" s="1"/>
  <c r="Q546" i="1"/>
  <c r="R546" i="1" s="1"/>
  <c r="Q655" i="1"/>
  <c r="R655" i="1" s="1"/>
  <c r="Q628" i="1"/>
  <c r="R628" i="1" s="1"/>
  <c r="Q699" i="1"/>
  <c r="R699" i="1" s="1"/>
  <c r="Q672" i="1"/>
  <c r="R672" i="1" s="1"/>
  <c r="Q663" i="1"/>
  <c r="R663" i="1" s="1"/>
  <c r="Q804" i="1"/>
  <c r="R804" i="1" s="1"/>
  <c r="Q740" i="1"/>
  <c r="R740" i="1" s="1"/>
  <c r="Q905" i="1"/>
  <c r="R905" i="1" s="1"/>
  <c r="Q1046" i="1"/>
  <c r="R1046" i="1" s="1"/>
  <c r="Q982" i="1"/>
  <c r="R982" i="1" s="1"/>
  <c r="Q1103" i="1"/>
  <c r="R1103" i="1" s="1"/>
  <c r="Q378" i="1"/>
  <c r="R378" i="1" s="1"/>
  <c r="Q402" i="1"/>
  <c r="R402" i="1" s="1"/>
  <c r="Q494" i="1"/>
  <c r="R494" i="1" s="1"/>
  <c r="Q386" i="1"/>
  <c r="R386" i="1" s="1"/>
  <c r="Q410" i="1"/>
  <c r="R410" i="1" s="1"/>
  <c r="Q502" i="1"/>
  <c r="R502" i="1" s="1"/>
  <c r="Q394" i="1"/>
  <c r="R394" i="1" s="1"/>
  <c r="Q418" i="1"/>
  <c r="R418" i="1" s="1"/>
  <c r="Q499" i="1"/>
  <c r="R499" i="1" s="1"/>
  <c r="Q523" i="1"/>
  <c r="R523" i="1" s="1"/>
  <c r="Q547" i="1"/>
  <c r="R547" i="1" s="1"/>
  <c r="Q571" i="1"/>
  <c r="R571" i="1" s="1"/>
  <c r="Q511" i="1"/>
  <c r="R511" i="1" s="1"/>
  <c r="Q535" i="1"/>
  <c r="R535" i="1" s="1"/>
  <c r="Q559" i="1"/>
  <c r="R559" i="1" s="1"/>
  <c r="Q583" i="1"/>
  <c r="R583" i="1" s="1"/>
  <c r="Q749" i="1"/>
  <c r="R749" i="1" s="1"/>
  <c r="Q773" i="1"/>
  <c r="R773" i="1" s="1"/>
  <c r="Q797" i="1"/>
  <c r="R797" i="1" s="1"/>
  <c r="Q821" i="1"/>
  <c r="R821" i="1" s="1"/>
  <c r="Q869" i="1"/>
  <c r="R869" i="1" s="1"/>
  <c r="Q737" i="1"/>
  <c r="R737" i="1" s="1"/>
  <c r="Q761" i="1"/>
  <c r="R761" i="1" s="1"/>
  <c r="Q785" i="1"/>
  <c r="R785" i="1" s="1"/>
  <c r="Q809" i="1"/>
  <c r="R809" i="1" s="1"/>
  <c r="Q833" i="1"/>
  <c r="R833" i="1" s="1"/>
  <c r="Q406" i="1"/>
  <c r="R406" i="1" s="1"/>
  <c r="Q374" i="1"/>
  <c r="R374" i="1" s="1"/>
  <c r="Q570" i="1"/>
  <c r="R570" i="1" s="1"/>
  <c r="Q506" i="1"/>
  <c r="R506" i="1" s="1"/>
  <c r="Q636" i="1"/>
  <c r="R636" i="1" s="1"/>
  <c r="Q627" i="1"/>
  <c r="R627" i="1" s="1"/>
  <c r="Q707" i="1"/>
  <c r="R707" i="1" s="1"/>
  <c r="Q680" i="1"/>
  <c r="R680" i="1" s="1"/>
  <c r="Q828" i="1"/>
  <c r="R828" i="1" s="1"/>
  <c r="Q764" i="1"/>
  <c r="R764" i="1" s="1"/>
  <c r="Q929" i="1"/>
  <c r="R929" i="1" s="1"/>
  <c r="Q865" i="1"/>
  <c r="R865" i="1" s="1"/>
  <c r="Q1070" i="1"/>
  <c r="R1070" i="1" s="1"/>
  <c r="Q1006" i="1"/>
  <c r="R1006" i="1" s="1"/>
  <c r="Q1171" i="1"/>
  <c r="R1171" i="1" s="1"/>
  <c r="Q515" i="1"/>
  <c r="R515" i="1" s="1"/>
  <c r="Q539" i="1"/>
  <c r="R539" i="1" s="1"/>
  <c r="Q563" i="1"/>
  <c r="R563" i="1" s="1"/>
  <c r="Q503" i="1"/>
  <c r="R503" i="1" s="1"/>
  <c r="Q527" i="1"/>
  <c r="R527" i="1" s="1"/>
  <c r="Q551" i="1"/>
  <c r="R551" i="1" s="1"/>
  <c r="Q575" i="1"/>
  <c r="R575" i="1" s="1"/>
  <c r="Q599" i="1"/>
  <c r="R599" i="1" s="1"/>
  <c r="Q15" i="1"/>
  <c r="R15" i="1" s="1"/>
  <c r="Q426" i="1"/>
  <c r="R426" i="1" s="1"/>
  <c r="Q405" i="1"/>
  <c r="R405" i="1" s="1"/>
  <c r="Q530" i="1"/>
  <c r="R530" i="1" s="1"/>
  <c r="Q644" i="1"/>
  <c r="R644" i="1" s="1"/>
  <c r="Q635" i="1"/>
  <c r="R635" i="1" s="1"/>
  <c r="Q715" i="1"/>
  <c r="R715" i="1" s="1"/>
  <c r="Q688" i="1"/>
  <c r="R688" i="1" s="1"/>
  <c r="Q788" i="1"/>
  <c r="R788" i="1" s="1"/>
  <c r="Q889" i="1"/>
  <c r="R889" i="1" s="1"/>
  <c r="Q1030" i="1"/>
  <c r="R1030" i="1" s="1"/>
  <c r="Q31" i="1"/>
  <c r="R31" i="1" s="1"/>
  <c r="Q107" i="1"/>
  <c r="R107" i="1" s="1"/>
  <c r="Q91" i="1"/>
  <c r="R91" i="1" s="1"/>
  <c r="Q75" i="1"/>
  <c r="R75" i="1" s="1"/>
  <c r="Q59" i="1"/>
  <c r="R59" i="1" s="1"/>
  <c r="Q43" i="1"/>
  <c r="R43" i="1" s="1"/>
  <c r="Q240" i="1"/>
  <c r="R240" i="1" s="1"/>
  <c r="Q232" i="1"/>
  <c r="R232" i="1" s="1"/>
  <c r="Q224" i="1"/>
  <c r="R224" i="1" s="1"/>
  <c r="Q216" i="1"/>
  <c r="R216" i="1" s="1"/>
  <c r="Q208" i="1"/>
  <c r="R208" i="1" s="1"/>
  <c r="Q200" i="1"/>
  <c r="R200" i="1" s="1"/>
  <c r="Q192" i="1"/>
  <c r="R192" i="1" s="1"/>
  <c r="Q184" i="1"/>
  <c r="R184" i="1" s="1"/>
  <c r="Q176" i="1"/>
  <c r="R176" i="1" s="1"/>
  <c r="Q168" i="1"/>
  <c r="R168" i="1" s="1"/>
  <c r="Q160" i="1"/>
  <c r="R160" i="1" s="1"/>
  <c r="Q152" i="1"/>
  <c r="R152" i="1" s="1"/>
  <c r="Q357" i="1"/>
  <c r="R357" i="1" s="1"/>
  <c r="Q349" i="1"/>
  <c r="R349" i="1" s="1"/>
  <c r="Q341" i="1"/>
  <c r="R341" i="1" s="1"/>
  <c r="Q333" i="1"/>
  <c r="R333" i="1" s="1"/>
  <c r="Q325" i="1"/>
  <c r="R325" i="1" s="1"/>
  <c r="Q317" i="1"/>
  <c r="R317" i="1" s="1"/>
  <c r="Q309" i="1"/>
  <c r="R309" i="1" s="1"/>
  <c r="Q301" i="1"/>
  <c r="R301" i="1" s="1"/>
  <c r="Q293" i="1"/>
  <c r="R293" i="1" s="1"/>
  <c r="Q285" i="1"/>
  <c r="R285" i="1" s="1"/>
  <c r="Q277" i="1"/>
  <c r="R277" i="1" s="1"/>
  <c r="Q269" i="1"/>
  <c r="R269" i="1" s="1"/>
  <c r="Q261" i="1"/>
  <c r="R261" i="1" s="1"/>
  <c r="Q373" i="1"/>
  <c r="R373" i="1" s="1"/>
  <c r="Q474" i="1"/>
  <c r="R474" i="1" s="1"/>
  <c r="Q466" i="1"/>
  <c r="R466" i="1" s="1"/>
  <c r="Q458" i="1"/>
  <c r="R458" i="1" s="1"/>
  <c r="Q450" i="1"/>
  <c r="R450" i="1" s="1"/>
  <c r="Q442" i="1"/>
  <c r="R442" i="1" s="1"/>
  <c r="Q434" i="1"/>
  <c r="R434" i="1" s="1"/>
  <c r="Q414" i="1"/>
  <c r="R414" i="1" s="1"/>
  <c r="Q382" i="1"/>
  <c r="R382" i="1" s="1"/>
  <c r="Q579" i="1"/>
  <c r="R579" i="1" s="1"/>
  <c r="Q554" i="1"/>
  <c r="R554" i="1" s="1"/>
  <c r="Q652" i="1"/>
  <c r="R652" i="1" s="1"/>
  <c r="Q643" i="1"/>
  <c r="R643" i="1" s="1"/>
  <c r="Q615" i="1"/>
  <c r="R615" i="1" s="1"/>
  <c r="Q696" i="1"/>
  <c r="R696" i="1" s="1"/>
  <c r="Q812" i="1"/>
  <c r="R812" i="1" s="1"/>
  <c r="Q748" i="1"/>
  <c r="R748" i="1" s="1"/>
  <c r="Q913" i="1"/>
  <c r="R913" i="1" s="1"/>
  <c r="Q1054" i="1"/>
  <c r="R1054" i="1" s="1"/>
  <c r="Q990" i="1"/>
  <c r="R990" i="1" s="1"/>
  <c r="Q25" i="1"/>
  <c r="R25" i="1" s="1"/>
  <c r="Q413" i="1"/>
  <c r="R413" i="1" s="1"/>
  <c r="Q381" i="1"/>
  <c r="R381" i="1" s="1"/>
  <c r="Q578" i="1"/>
  <c r="R578" i="1" s="1"/>
  <c r="Q514" i="1"/>
  <c r="R514" i="1" s="1"/>
  <c r="Q660" i="1"/>
  <c r="R660" i="1" s="1"/>
  <c r="Q623" i="1"/>
  <c r="R623" i="1" s="1"/>
  <c r="Q704" i="1"/>
  <c r="R704" i="1" s="1"/>
  <c r="Q836" i="1"/>
  <c r="R836" i="1" s="1"/>
  <c r="Q772" i="1"/>
  <c r="R772" i="1" s="1"/>
  <c r="Q937" i="1"/>
  <c r="R937" i="1" s="1"/>
  <c r="Q873" i="1"/>
  <c r="R873" i="1" s="1"/>
  <c r="Q1078" i="1"/>
  <c r="R1078" i="1" s="1"/>
  <c r="Q1014" i="1"/>
  <c r="R1014" i="1" s="1"/>
  <c r="Q1179" i="1"/>
  <c r="R1179" i="1" s="1"/>
  <c r="Q422" i="1"/>
  <c r="R422" i="1" s="1"/>
  <c r="Q390" i="1"/>
  <c r="R390" i="1" s="1"/>
  <c r="Q587" i="1"/>
  <c r="R587" i="1" s="1"/>
  <c r="Q538" i="1"/>
  <c r="R538" i="1" s="1"/>
  <c r="Q712" i="1"/>
  <c r="R712" i="1" s="1"/>
  <c r="Q796" i="1"/>
  <c r="R796" i="1" s="1"/>
  <c r="Q961" i="1"/>
  <c r="R961" i="1" s="1"/>
  <c r="Q897" i="1"/>
  <c r="R897" i="1" s="1"/>
  <c r="Q1038" i="1"/>
  <c r="R1038" i="1" s="1"/>
  <c r="Q974" i="1"/>
  <c r="R974" i="1" s="1"/>
  <c r="S25" i="1"/>
  <c r="M141" i="1"/>
  <c r="M149" i="1"/>
  <c r="M157" i="1"/>
  <c r="M165" i="1"/>
  <c r="M173" i="1"/>
  <c r="M181" i="1"/>
  <c r="M189" i="1"/>
  <c r="M197" i="1"/>
  <c r="M205" i="1"/>
  <c r="M213" i="1"/>
  <c r="M221" i="1"/>
  <c r="M229" i="1"/>
  <c r="M237" i="1"/>
  <c r="M262" i="1"/>
  <c r="M270" i="1"/>
  <c r="M278" i="1"/>
  <c r="M286" i="1"/>
  <c r="M294" i="1"/>
  <c r="M302" i="1"/>
  <c r="M310" i="1"/>
  <c r="M318" i="1"/>
  <c r="M326" i="1"/>
  <c r="M334" i="1"/>
  <c r="M342" i="1"/>
  <c r="M350" i="1"/>
  <c r="M358" i="1"/>
  <c r="S359" i="1"/>
  <c r="M375" i="1"/>
  <c r="M383" i="1"/>
  <c r="M391" i="1"/>
  <c r="M399" i="1"/>
  <c r="M407" i="1"/>
  <c r="M415" i="1"/>
  <c r="M423" i="1"/>
  <c r="M431" i="1"/>
  <c r="M439" i="1"/>
  <c r="M447" i="1"/>
  <c r="M455" i="1"/>
  <c r="M463" i="1"/>
  <c r="M471" i="1"/>
  <c r="M479" i="1"/>
  <c r="M512" i="1"/>
  <c r="M520" i="1"/>
  <c r="M536" i="1"/>
  <c r="M544" i="1"/>
  <c r="M552" i="1"/>
  <c r="M560" i="1"/>
  <c r="M568" i="1"/>
  <c r="M576" i="1"/>
  <c r="M584" i="1"/>
  <c r="M592" i="1"/>
  <c r="M600" i="1"/>
  <c r="S601" i="1"/>
  <c r="M625" i="1"/>
  <c r="M633" i="1"/>
  <c r="M641" i="1"/>
  <c r="M649" i="1"/>
  <c r="M657" i="1"/>
  <c r="M665" i="1"/>
  <c r="M673" i="1"/>
  <c r="M681" i="1"/>
  <c r="M689" i="1"/>
  <c r="M697" i="1"/>
  <c r="M705" i="1"/>
  <c r="M713" i="1"/>
  <c r="M721" i="1"/>
  <c r="M738" i="1"/>
  <c r="M746" i="1"/>
  <c r="M754" i="1"/>
  <c r="M762" i="1"/>
  <c r="M770" i="1"/>
  <c r="M778" i="1"/>
  <c r="M786" i="1"/>
  <c r="M794" i="1"/>
  <c r="M802" i="1"/>
  <c r="M810" i="1"/>
  <c r="M818" i="1"/>
  <c r="M826" i="1"/>
  <c r="M834" i="1"/>
  <c r="S838" i="1"/>
  <c r="M859" i="1"/>
  <c r="M867" i="1"/>
  <c r="M875" i="1"/>
  <c r="M883" i="1"/>
  <c r="M891" i="1"/>
  <c r="M899" i="1"/>
  <c r="M907" i="1"/>
  <c r="M915" i="1"/>
  <c r="M923" i="1"/>
  <c r="M931" i="1"/>
  <c r="M939" i="1"/>
  <c r="M947" i="1"/>
  <c r="M955" i="1"/>
  <c r="M980" i="1"/>
  <c r="M996" i="1"/>
  <c r="M1004" i="1"/>
  <c r="M1012" i="1"/>
  <c r="M1020" i="1"/>
  <c r="M1028" i="1"/>
  <c r="M1036" i="1"/>
  <c r="M1044" i="1"/>
  <c r="S1065" i="1"/>
  <c r="Q1100" i="1"/>
  <c r="R1100" i="1" s="1"/>
  <c r="Q1108" i="1"/>
  <c r="R1108" i="1" s="1"/>
  <c r="S868" i="1"/>
  <c r="Q1116" i="1"/>
  <c r="R1116" i="1" s="1"/>
  <c r="Q1124" i="1"/>
  <c r="R1124" i="1" s="1"/>
  <c r="Q1132" i="1"/>
  <c r="R1132" i="1" s="1"/>
  <c r="Q1140" i="1"/>
  <c r="R1140" i="1" s="1"/>
  <c r="Q1149" i="1"/>
  <c r="R1149" i="1" s="1"/>
  <c r="S1158" i="1"/>
  <c r="S1190" i="1"/>
  <c r="S235" i="1"/>
  <c r="S837" i="1"/>
  <c r="Q1157" i="1"/>
  <c r="R1157" i="1" s="1"/>
  <c r="Q1141" i="1"/>
  <c r="R1141" i="1" s="1"/>
  <c r="Q1133" i="1"/>
  <c r="R1133" i="1" s="1"/>
  <c r="Q1125" i="1"/>
  <c r="R1125" i="1" s="1"/>
  <c r="Q1117" i="1"/>
  <c r="R1117" i="1" s="1"/>
  <c r="Q1109" i="1"/>
  <c r="R1109" i="1" s="1"/>
  <c r="Q1101" i="1"/>
  <c r="R1101" i="1" s="1"/>
  <c r="S1066" i="1"/>
  <c r="M504" i="1"/>
  <c r="S501" i="1"/>
  <c r="M988" i="1"/>
  <c r="S987" i="1"/>
  <c r="M1052" i="1"/>
  <c r="M1060" i="1"/>
  <c r="M1068" i="1"/>
  <c r="M1076" i="1"/>
  <c r="M1101" i="1"/>
  <c r="Q1099" i="1"/>
  <c r="R1099" i="1" s="1"/>
  <c r="Q1097" i="1"/>
  <c r="R1097" i="1" s="1"/>
  <c r="Q1098" i="1"/>
  <c r="R1098" i="1" s="1"/>
  <c r="M1109" i="1"/>
  <c r="S1189" i="1"/>
  <c r="S577" i="1"/>
  <c r="S989" i="1"/>
  <c r="M50" i="1"/>
  <c r="M114" i="1"/>
  <c r="M1117" i="1"/>
  <c r="M1125" i="1"/>
  <c r="M1133" i="1"/>
  <c r="M1141" i="1"/>
  <c r="M1149" i="1"/>
  <c r="M1157" i="1"/>
  <c r="M1165" i="1"/>
  <c r="M1173" i="1"/>
  <c r="M1181" i="1"/>
  <c r="M1189" i="1"/>
  <c r="M1197" i="1"/>
  <c r="S1199" i="1"/>
  <c r="M15" i="1"/>
  <c r="M23" i="1"/>
  <c r="M31" i="1"/>
  <c r="M39" i="1"/>
  <c r="M47" i="1"/>
  <c r="M55" i="1"/>
  <c r="M63" i="1"/>
  <c r="M79" i="1"/>
  <c r="M87" i="1"/>
  <c r="M103" i="1"/>
  <c r="M119" i="1"/>
  <c r="S406" i="1"/>
  <c r="S706" i="1"/>
  <c r="M13" i="1"/>
  <c r="M14" i="1"/>
  <c r="M22" i="1"/>
  <c r="M30" i="1"/>
  <c r="M38" i="1"/>
  <c r="M46" i="1"/>
  <c r="M54" i="1"/>
  <c r="M62" i="1"/>
  <c r="M70" i="1"/>
  <c r="M78" i="1"/>
  <c r="M86" i="1"/>
  <c r="M94" i="1"/>
  <c r="M102" i="1"/>
  <c r="M110" i="1"/>
  <c r="M135" i="1"/>
  <c r="M143" i="1"/>
  <c r="M151" i="1"/>
  <c r="M159" i="1"/>
  <c r="M175" i="1"/>
  <c r="M183" i="1"/>
  <c r="M191" i="1"/>
  <c r="M199" i="1"/>
  <c r="M207" i="1"/>
  <c r="M215" i="1"/>
  <c r="M223" i="1"/>
  <c r="M239" i="1"/>
  <c r="M385" i="1"/>
  <c r="M401" i="1"/>
  <c r="M417" i="1"/>
  <c r="M433" i="1"/>
  <c r="M71" i="1"/>
  <c r="Q97" i="1"/>
  <c r="R97" i="1" s="1"/>
  <c r="Q81" i="1"/>
  <c r="R81" i="1" s="1"/>
  <c r="Q65" i="1"/>
  <c r="R65" i="1" s="1"/>
  <c r="Q41" i="1"/>
  <c r="R41" i="1" s="1"/>
  <c r="S168" i="1"/>
  <c r="S576" i="1"/>
  <c r="M16" i="1"/>
  <c r="M24" i="1"/>
  <c r="M32" i="1"/>
  <c r="M40" i="1"/>
  <c r="M48" i="1"/>
  <c r="M56" i="1"/>
  <c r="M64" i="1"/>
  <c r="M72" i="1"/>
  <c r="M80" i="1"/>
  <c r="M88" i="1"/>
  <c r="M96" i="1"/>
  <c r="M104" i="1"/>
  <c r="M112" i="1"/>
  <c r="M120" i="1"/>
  <c r="M137" i="1"/>
  <c r="M145" i="1"/>
  <c r="M153" i="1"/>
  <c r="M161" i="1"/>
  <c r="M169" i="1"/>
  <c r="M177" i="1"/>
  <c r="M185" i="1"/>
  <c r="M193" i="1"/>
  <c r="M201" i="1"/>
  <c r="M209" i="1"/>
  <c r="M217" i="1"/>
  <c r="M225" i="1"/>
  <c r="M233" i="1"/>
  <c r="M241" i="1"/>
  <c r="M258" i="1"/>
  <c r="M266" i="1"/>
  <c r="M274" i="1"/>
  <c r="M282" i="1"/>
  <c r="M290" i="1"/>
  <c r="M298" i="1"/>
  <c r="M306" i="1"/>
  <c r="M314" i="1"/>
  <c r="M322" i="1"/>
  <c r="M330" i="1"/>
  <c r="M338" i="1"/>
  <c r="M346" i="1"/>
  <c r="M354" i="1"/>
  <c r="M379" i="1"/>
  <c r="M387" i="1"/>
  <c r="M395" i="1"/>
  <c r="M403" i="1"/>
  <c r="M411" i="1"/>
  <c r="M419" i="1"/>
  <c r="M427" i="1"/>
  <c r="M435" i="1"/>
  <c r="M727" i="1"/>
  <c r="M798" i="1"/>
  <c r="M895" i="1"/>
  <c r="M992" i="1"/>
  <c r="M95" i="1"/>
  <c r="M111" i="1"/>
  <c r="Q30" i="1"/>
  <c r="R30" i="1" s="1"/>
  <c r="Q22" i="1"/>
  <c r="R22" i="1" s="1"/>
  <c r="Q113" i="1"/>
  <c r="R113" i="1" s="1"/>
  <c r="Q105" i="1"/>
  <c r="R105" i="1" s="1"/>
  <c r="Q89" i="1"/>
  <c r="R89" i="1" s="1"/>
  <c r="Q73" i="1"/>
  <c r="R73" i="1" s="1"/>
  <c r="Q57" i="1"/>
  <c r="R57" i="1" s="1"/>
  <c r="Q49" i="1"/>
  <c r="R49" i="1" s="1"/>
  <c r="Q33" i="1"/>
  <c r="R33" i="1" s="1"/>
  <c r="Q29" i="1"/>
  <c r="R29" i="1" s="1"/>
  <c r="Q21" i="1"/>
  <c r="R21" i="1" s="1"/>
  <c r="Q112" i="1"/>
  <c r="R112" i="1" s="1"/>
  <c r="Q104" i="1"/>
  <c r="R104" i="1" s="1"/>
  <c r="Q96" i="1"/>
  <c r="R96" i="1" s="1"/>
  <c r="Q88" i="1"/>
  <c r="R88" i="1" s="1"/>
  <c r="Q80" i="1"/>
  <c r="R80" i="1" s="1"/>
  <c r="Q72" i="1"/>
  <c r="R72" i="1" s="1"/>
  <c r="Q64" i="1"/>
  <c r="R64" i="1" s="1"/>
  <c r="Q56" i="1"/>
  <c r="R56" i="1" s="1"/>
  <c r="Q48" i="1"/>
  <c r="R48" i="1" s="1"/>
  <c r="Q40" i="1"/>
  <c r="R40" i="1" s="1"/>
  <c r="Q32" i="1"/>
  <c r="R32" i="1" s="1"/>
  <c r="S151" i="1"/>
  <c r="S544" i="1"/>
  <c r="S735" i="1"/>
  <c r="M17" i="1"/>
  <c r="M25" i="1"/>
  <c r="M33" i="1"/>
  <c r="M41" i="1"/>
  <c r="M49" i="1"/>
  <c r="M57" i="1"/>
  <c r="M65" i="1"/>
  <c r="M73" i="1"/>
  <c r="M81" i="1"/>
  <c r="M89" i="1"/>
  <c r="M97" i="1"/>
  <c r="M105" i="1"/>
  <c r="M113" i="1"/>
  <c r="M121" i="1"/>
  <c r="Q28" i="1"/>
  <c r="R28" i="1" s="1"/>
  <c r="Q20" i="1"/>
  <c r="R20" i="1" s="1"/>
  <c r="Q119" i="1"/>
  <c r="R119" i="1" s="1"/>
  <c r="Q111" i="1"/>
  <c r="R111" i="1" s="1"/>
  <c r="Q103" i="1"/>
  <c r="R103" i="1" s="1"/>
  <c r="Q95" i="1"/>
  <c r="R95" i="1" s="1"/>
  <c r="Q87" i="1"/>
  <c r="R87" i="1" s="1"/>
  <c r="Q79" i="1"/>
  <c r="R79" i="1" s="1"/>
  <c r="Q71" i="1"/>
  <c r="R71" i="1" s="1"/>
  <c r="Q63" i="1"/>
  <c r="R63" i="1" s="1"/>
  <c r="Q55" i="1"/>
  <c r="R55" i="1" s="1"/>
  <c r="Q47" i="1"/>
  <c r="R47" i="1" s="1"/>
  <c r="Q39" i="1"/>
  <c r="R39" i="1" s="1"/>
  <c r="S102" i="1"/>
  <c r="S539" i="1"/>
  <c r="S734" i="1"/>
  <c r="M18" i="1"/>
  <c r="M26" i="1"/>
  <c r="M34" i="1"/>
  <c r="M42" i="1"/>
  <c r="M58" i="1"/>
  <c r="M66" i="1"/>
  <c r="M74" i="1"/>
  <c r="M82" i="1"/>
  <c r="M90" i="1"/>
  <c r="M98" i="1"/>
  <c r="M106" i="1"/>
  <c r="M139" i="1"/>
  <c r="M147" i="1"/>
  <c r="M155" i="1"/>
  <c r="M163" i="1"/>
  <c r="M171" i="1"/>
  <c r="M179" i="1"/>
  <c r="M187" i="1"/>
  <c r="M195" i="1"/>
  <c r="M203" i="1"/>
  <c r="M211" i="1"/>
  <c r="M219" i="1"/>
  <c r="M227" i="1"/>
  <c r="M235" i="1"/>
  <c r="M260" i="1"/>
  <c r="M268" i="1"/>
  <c r="M276" i="1"/>
  <c r="M284" i="1"/>
  <c r="M292" i="1"/>
  <c r="M300" i="1"/>
  <c r="M308" i="1"/>
  <c r="M316" i="1"/>
  <c r="M324" i="1"/>
  <c r="M332" i="1"/>
  <c r="M340" i="1"/>
  <c r="M490" i="1"/>
  <c r="M582" i="1"/>
  <c r="M703" i="1"/>
  <c r="M167" i="1"/>
  <c r="Q27" i="1"/>
  <c r="R27" i="1" s="1"/>
  <c r="Q19" i="1"/>
  <c r="R19" i="1" s="1"/>
  <c r="Q118" i="1"/>
  <c r="R118" i="1" s="1"/>
  <c r="Q110" i="1"/>
  <c r="R110" i="1" s="1"/>
  <c r="Q102" i="1"/>
  <c r="R102" i="1" s="1"/>
  <c r="Q94" i="1"/>
  <c r="R94" i="1" s="1"/>
  <c r="Q86" i="1"/>
  <c r="R86" i="1" s="1"/>
  <c r="Q78" i="1"/>
  <c r="R78" i="1" s="1"/>
  <c r="Q70" i="1"/>
  <c r="R70" i="1" s="1"/>
  <c r="Q62" i="1"/>
  <c r="R62" i="1" s="1"/>
  <c r="Q54" i="1"/>
  <c r="R54" i="1" s="1"/>
  <c r="Q46" i="1"/>
  <c r="R46" i="1" s="1"/>
  <c r="Q38" i="1"/>
  <c r="R38" i="1" s="1"/>
  <c r="S296" i="1"/>
  <c r="S507" i="1"/>
  <c r="S869" i="1"/>
  <c r="M19" i="1"/>
  <c r="M27" i="1"/>
  <c r="M35" i="1"/>
  <c r="M43" i="1"/>
  <c r="M51" i="1"/>
  <c r="M59" i="1"/>
  <c r="M67" i="1"/>
  <c r="M75" i="1"/>
  <c r="M83" i="1"/>
  <c r="M91" i="1"/>
  <c r="M99" i="1"/>
  <c r="M107" i="1"/>
  <c r="M115" i="1"/>
  <c r="M1100" i="1"/>
  <c r="M231" i="1"/>
  <c r="S91" i="1"/>
  <c r="M20" i="1"/>
  <c r="M28" i="1"/>
  <c r="M36" i="1"/>
  <c r="M44" i="1"/>
  <c r="M52" i="1"/>
  <c r="M60" i="1"/>
  <c r="M68" i="1"/>
  <c r="M76" i="1"/>
  <c r="M84" i="1"/>
  <c r="M92" i="1"/>
  <c r="M100" i="1"/>
  <c r="M108" i="1"/>
  <c r="M116" i="1"/>
  <c r="S118" i="1"/>
  <c r="M254" i="1"/>
  <c r="M253" i="1"/>
  <c r="S496" i="1"/>
  <c r="M496" i="1"/>
  <c r="S522" i="1"/>
  <c r="M528" i="1"/>
  <c r="S617" i="1"/>
  <c r="M617" i="1"/>
  <c r="S36" i="1"/>
  <c r="S431" i="1"/>
  <c r="S707" i="1"/>
  <c r="S21" i="1"/>
  <c r="M21" i="1"/>
  <c r="M29" i="1"/>
  <c r="S37" i="1"/>
  <c r="M37" i="1"/>
  <c r="M45" i="1"/>
  <c r="M53" i="1"/>
  <c r="M61" i="1"/>
  <c r="S69" i="1"/>
  <c r="M69" i="1"/>
  <c r="M77" i="1"/>
  <c r="M85" i="1"/>
  <c r="S93" i="1"/>
  <c r="M93" i="1"/>
  <c r="S101" i="1"/>
  <c r="M101" i="1"/>
  <c r="S109" i="1"/>
  <c r="M109" i="1"/>
  <c r="S117" i="1"/>
  <c r="M117" i="1"/>
  <c r="M456" i="1"/>
  <c r="M551" i="1"/>
  <c r="S121" i="1"/>
  <c r="M134" i="1"/>
  <c r="M133" i="1"/>
  <c r="S142" i="1"/>
  <c r="M142" i="1"/>
  <c r="S150" i="1"/>
  <c r="M150" i="1"/>
  <c r="M158" i="1"/>
  <c r="S166" i="1"/>
  <c r="M166" i="1"/>
  <c r="M174" i="1"/>
  <c r="S182" i="1"/>
  <c r="M182" i="1"/>
  <c r="M190" i="1"/>
  <c r="M198" i="1"/>
  <c r="M206" i="1"/>
  <c r="S214" i="1"/>
  <c r="M214" i="1"/>
  <c r="M222" i="1"/>
  <c r="M230" i="1"/>
  <c r="M238" i="1"/>
  <c r="S255" i="1"/>
  <c r="M255" i="1"/>
  <c r="M263" i="1"/>
  <c r="S271" i="1"/>
  <c r="M271" i="1"/>
  <c r="S279" i="1"/>
  <c r="M279" i="1"/>
  <c r="M287" i="1"/>
  <c r="M295" i="1"/>
  <c r="M303" i="1"/>
  <c r="M311" i="1"/>
  <c r="S319" i="1"/>
  <c r="M319" i="1"/>
  <c r="M327" i="1"/>
  <c r="S335" i="1"/>
  <c r="M335" i="1"/>
  <c r="M343" i="1"/>
  <c r="S351" i="1"/>
  <c r="M351" i="1"/>
  <c r="M359" i="1"/>
  <c r="S360" i="1"/>
  <c r="S376" i="1"/>
  <c r="M376" i="1"/>
  <c r="M384" i="1"/>
  <c r="S392" i="1"/>
  <c r="M392" i="1"/>
  <c r="S400" i="1"/>
  <c r="M400" i="1"/>
  <c r="M408" i="1"/>
  <c r="S416" i="1"/>
  <c r="M416" i="1"/>
  <c r="S424" i="1"/>
  <c r="M424" i="1"/>
  <c r="S432" i="1"/>
  <c r="M432" i="1"/>
  <c r="S440" i="1"/>
  <c r="M440" i="1"/>
  <c r="S448" i="1"/>
  <c r="M448" i="1"/>
  <c r="M464" i="1"/>
  <c r="S472" i="1"/>
  <c r="M472" i="1"/>
  <c r="S480" i="1"/>
  <c r="M480" i="1"/>
  <c r="M497" i="1"/>
  <c r="M505" i="1"/>
  <c r="M513" i="1"/>
  <c r="S521" i="1"/>
  <c r="M521" i="1"/>
  <c r="M529" i="1"/>
  <c r="M537" i="1"/>
  <c r="M545" i="1"/>
  <c r="S553" i="1"/>
  <c r="M553" i="1"/>
  <c r="M561" i="1"/>
  <c r="M569" i="1"/>
  <c r="M577" i="1"/>
  <c r="S585" i="1"/>
  <c r="M585" i="1"/>
  <c r="S593" i="1"/>
  <c r="M593" i="1"/>
  <c r="M601" i="1"/>
  <c r="M618" i="1"/>
  <c r="M626" i="1"/>
  <c r="S634" i="1"/>
  <c r="M634" i="1"/>
  <c r="M642" i="1"/>
  <c r="S650" i="1"/>
  <c r="M650" i="1"/>
  <c r="M658" i="1"/>
  <c r="S666" i="1"/>
  <c r="M666" i="1"/>
  <c r="M674" i="1"/>
  <c r="S682" i="1"/>
  <c r="M682" i="1"/>
  <c r="M690" i="1"/>
  <c r="S698" i="1"/>
  <c r="M698" i="1"/>
  <c r="M706" i="1"/>
  <c r="S714" i="1"/>
  <c r="M714" i="1"/>
  <c r="M739" i="1"/>
  <c r="M747" i="1"/>
  <c r="M755" i="1"/>
  <c r="M763" i="1"/>
  <c r="M771" i="1"/>
  <c r="M779" i="1"/>
  <c r="M787" i="1"/>
  <c r="M795" i="1"/>
  <c r="M803" i="1"/>
  <c r="M811" i="1"/>
  <c r="M819" i="1"/>
  <c r="M827" i="1"/>
  <c r="M835" i="1"/>
  <c r="M860" i="1"/>
  <c r="M868" i="1"/>
  <c r="M876" i="1"/>
  <c r="M884" i="1"/>
  <c r="M892" i="1"/>
  <c r="M900" i="1"/>
  <c r="M908" i="1"/>
  <c r="M916" i="1"/>
  <c r="M924" i="1"/>
  <c r="M932" i="1"/>
  <c r="M940" i="1"/>
  <c r="M948" i="1"/>
  <c r="M956" i="1"/>
  <c r="M981" i="1"/>
  <c r="M989" i="1"/>
  <c r="M1150" i="1"/>
  <c r="M118" i="1"/>
  <c r="M256" i="1"/>
  <c r="M264" i="1"/>
  <c r="M272" i="1"/>
  <c r="M280" i="1"/>
  <c r="M288" i="1"/>
  <c r="M296" i="1"/>
  <c r="M304" i="1"/>
  <c r="M312" i="1"/>
  <c r="M320" i="1"/>
  <c r="M328" i="1"/>
  <c r="M336" i="1"/>
  <c r="M344" i="1"/>
  <c r="M352" i="1"/>
  <c r="M360" i="1"/>
  <c r="M377" i="1"/>
  <c r="M393" i="1"/>
  <c r="M409" i="1"/>
  <c r="M425" i="1"/>
  <c r="M441" i="1"/>
  <c r="M449" i="1"/>
  <c r="M457" i="1"/>
  <c r="M465" i="1"/>
  <c r="M473" i="1"/>
  <c r="M481" i="1"/>
  <c r="M498" i="1"/>
  <c r="M506" i="1"/>
  <c r="M514" i="1"/>
  <c r="M522" i="1"/>
  <c r="M530" i="1"/>
  <c r="M538" i="1"/>
  <c r="M546" i="1"/>
  <c r="M554" i="1"/>
  <c r="M562" i="1"/>
  <c r="M570" i="1"/>
  <c r="M578" i="1"/>
  <c r="M586" i="1"/>
  <c r="M594" i="1"/>
  <c r="M619" i="1"/>
  <c r="M627" i="1"/>
  <c r="M635" i="1"/>
  <c r="M643" i="1"/>
  <c r="M651" i="1"/>
  <c r="M659" i="1"/>
  <c r="M667" i="1"/>
  <c r="M675" i="1"/>
  <c r="M683" i="1"/>
  <c r="M691" i="1"/>
  <c r="M699" i="1"/>
  <c r="M707" i="1"/>
  <c r="M715" i="1"/>
  <c r="M740" i="1"/>
  <c r="M748" i="1"/>
  <c r="M756" i="1"/>
  <c r="M764" i="1"/>
  <c r="M772" i="1"/>
  <c r="M780" i="1"/>
  <c r="M788" i="1"/>
  <c r="M796" i="1"/>
  <c r="M804" i="1"/>
  <c r="M812" i="1"/>
  <c r="M820" i="1"/>
  <c r="M828" i="1"/>
  <c r="M836" i="1"/>
  <c r="M861" i="1"/>
  <c r="M869" i="1"/>
  <c r="M877" i="1"/>
  <c r="M885" i="1"/>
  <c r="M893" i="1"/>
  <c r="M901" i="1"/>
  <c r="M909" i="1"/>
  <c r="M917" i="1"/>
  <c r="M925" i="1"/>
  <c r="M933" i="1"/>
  <c r="M949" i="1"/>
  <c r="M1111" i="1"/>
  <c r="M1175" i="1"/>
  <c r="M136" i="1"/>
  <c r="M144" i="1"/>
  <c r="M152" i="1"/>
  <c r="M160" i="1"/>
  <c r="M168" i="1"/>
  <c r="M176" i="1"/>
  <c r="M184" i="1"/>
  <c r="M192" i="1"/>
  <c r="M200" i="1"/>
  <c r="M208" i="1"/>
  <c r="M216" i="1"/>
  <c r="M224" i="1"/>
  <c r="M232" i="1"/>
  <c r="M240" i="1"/>
  <c r="M257" i="1"/>
  <c r="M265" i="1"/>
  <c r="M273" i="1"/>
  <c r="M281" i="1"/>
  <c r="M289" i="1"/>
  <c r="M297" i="1"/>
  <c r="M305" i="1"/>
  <c r="M313" i="1"/>
  <c r="M321" i="1"/>
  <c r="M329" i="1"/>
  <c r="M337" i="1"/>
  <c r="M345" i="1"/>
  <c r="M353" i="1"/>
  <c r="M361" i="1"/>
  <c r="M378" i="1"/>
  <c r="M386" i="1"/>
  <c r="M394" i="1"/>
  <c r="M402" i="1"/>
  <c r="M410" i="1"/>
  <c r="M418" i="1"/>
  <c r="M426" i="1"/>
  <c r="M434" i="1"/>
  <c r="M442" i="1"/>
  <c r="M450" i="1"/>
  <c r="M458" i="1"/>
  <c r="M466" i="1"/>
  <c r="M474" i="1"/>
  <c r="M499" i="1"/>
  <c r="M507" i="1"/>
  <c r="M515" i="1"/>
  <c r="M523" i="1"/>
  <c r="M531" i="1"/>
  <c r="M539" i="1"/>
  <c r="M547" i="1"/>
  <c r="M555" i="1"/>
  <c r="M563" i="1"/>
  <c r="M571" i="1"/>
  <c r="M579" i="1"/>
  <c r="M587" i="1"/>
  <c r="M595" i="1"/>
  <c r="M620" i="1"/>
  <c r="M628" i="1"/>
  <c r="M636" i="1"/>
  <c r="M644" i="1"/>
  <c r="M652" i="1"/>
  <c r="M660" i="1"/>
  <c r="M668" i="1"/>
  <c r="M676" i="1"/>
  <c r="M684" i="1"/>
  <c r="M692" i="1"/>
  <c r="M700" i="1"/>
  <c r="M708" i="1"/>
  <c r="M716" i="1"/>
  <c r="M741" i="1"/>
  <c r="M749" i="1"/>
  <c r="M757" i="1"/>
  <c r="M765" i="1"/>
  <c r="M773" i="1"/>
  <c r="M781" i="1"/>
  <c r="M789" i="1"/>
  <c r="M797" i="1"/>
  <c r="M805" i="1"/>
  <c r="M813" i="1"/>
  <c r="M821" i="1"/>
  <c r="M829" i="1"/>
  <c r="M837" i="1"/>
  <c r="M854" i="1"/>
  <c r="M853" i="1"/>
  <c r="M862" i="1"/>
  <c r="M870" i="1"/>
  <c r="M878" i="1"/>
  <c r="M886" i="1"/>
  <c r="M894" i="1"/>
  <c r="M902" i="1"/>
  <c r="M910" i="1"/>
  <c r="M918" i="1"/>
  <c r="M926" i="1"/>
  <c r="M934" i="1"/>
  <c r="M942" i="1"/>
  <c r="M443" i="1"/>
  <c r="M451" i="1"/>
  <c r="M459" i="1"/>
  <c r="M467" i="1"/>
  <c r="M475" i="1"/>
  <c r="M500" i="1"/>
  <c r="M508" i="1"/>
  <c r="M516" i="1"/>
  <c r="M524" i="1"/>
  <c r="M532" i="1"/>
  <c r="M540" i="1"/>
  <c r="M548" i="1"/>
  <c r="M556" i="1"/>
  <c r="M564" i="1"/>
  <c r="M572" i="1"/>
  <c r="M580" i="1"/>
  <c r="M588" i="1"/>
  <c r="M596" i="1"/>
  <c r="M621" i="1"/>
  <c r="M629" i="1"/>
  <c r="M637" i="1"/>
  <c r="M645" i="1"/>
  <c r="M653" i="1"/>
  <c r="M661" i="1"/>
  <c r="M669" i="1"/>
  <c r="M677" i="1"/>
  <c r="M685" i="1"/>
  <c r="M693" i="1"/>
  <c r="M701" i="1"/>
  <c r="M709" i="1"/>
  <c r="M717" i="1"/>
  <c r="M733" i="1"/>
  <c r="M728" i="1"/>
  <c r="M729" i="1"/>
  <c r="M730" i="1"/>
  <c r="M723" i="1"/>
  <c r="M731" i="1"/>
  <c r="M724" i="1"/>
  <c r="M732" i="1"/>
  <c r="M734" i="1"/>
  <c r="M725" i="1"/>
  <c r="M726" i="1"/>
  <c r="M742" i="1"/>
  <c r="M750" i="1"/>
  <c r="M758" i="1"/>
  <c r="M766" i="1"/>
  <c r="M774" i="1"/>
  <c r="M782" i="1"/>
  <c r="M790" i="1"/>
  <c r="M806" i="1"/>
  <c r="M814" i="1"/>
  <c r="M822" i="1"/>
  <c r="M830" i="1"/>
  <c r="M838" i="1"/>
  <c r="M855" i="1"/>
  <c r="M863" i="1"/>
  <c r="M871" i="1"/>
  <c r="M879" i="1"/>
  <c r="M887" i="1"/>
  <c r="M903" i="1"/>
  <c r="M911" i="1"/>
  <c r="M919" i="1"/>
  <c r="M927" i="1"/>
  <c r="M935" i="1"/>
  <c r="M943" i="1"/>
  <c r="M951" i="1"/>
  <c r="M959" i="1"/>
  <c r="M976" i="1"/>
  <c r="M984" i="1"/>
  <c r="M1000" i="1"/>
  <c r="M1008" i="1"/>
  <c r="M1016" i="1"/>
  <c r="M1024" i="1"/>
  <c r="M1032" i="1"/>
  <c r="M1040" i="1"/>
  <c r="M1048" i="1"/>
  <c r="M1056" i="1"/>
  <c r="M1064" i="1"/>
  <c r="M1072" i="1"/>
  <c r="M1080" i="1"/>
  <c r="M1097" i="1"/>
  <c r="M1105" i="1"/>
  <c r="M1113" i="1"/>
  <c r="M1121" i="1"/>
  <c r="M1129" i="1"/>
  <c r="M1137" i="1"/>
  <c r="M1145" i="1"/>
  <c r="M1153" i="1"/>
  <c r="M1161" i="1"/>
  <c r="M1169" i="1"/>
  <c r="M138" i="1"/>
  <c r="M146" i="1"/>
  <c r="M154" i="1"/>
  <c r="M162" i="1"/>
  <c r="M170" i="1"/>
  <c r="M178" i="1"/>
  <c r="M186" i="1"/>
  <c r="M194" i="1"/>
  <c r="M202" i="1"/>
  <c r="M210" i="1"/>
  <c r="M218" i="1"/>
  <c r="M226" i="1"/>
  <c r="M234" i="1"/>
  <c r="M259" i="1"/>
  <c r="M267" i="1"/>
  <c r="M275" i="1"/>
  <c r="M283" i="1"/>
  <c r="M291" i="1"/>
  <c r="M299" i="1"/>
  <c r="M307" i="1"/>
  <c r="M315" i="1"/>
  <c r="M323" i="1"/>
  <c r="M331" i="1"/>
  <c r="M339" i="1"/>
  <c r="M347" i="1"/>
  <c r="M355" i="1"/>
  <c r="M380" i="1"/>
  <c r="M388" i="1"/>
  <c r="M396" i="1"/>
  <c r="M404" i="1"/>
  <c r="M412" i="1"/>
  <c r="M420" i="1"/>
  <c r="M428" i="1"/>
  <c r="M436" i="1"/>
  <c r="M444" i="1"/>
  <c r="M452" i="1"/>
  <c r="M460" i="1"/>
  <c r="M468" i="1"/>
  <c r="M476" i="1"/>
  <c r="M501" i="1"/>
  <c r="M509" i="1"/>
  <c r="M517" i="1"/>
  <c r="M525" i="1"/>
  <c r="M533" i="1"/>
  <c r="M541" i="1"/>
  <c r="M549" i="1"/>
  <c r="M557" i="1"/>
  <c r="M565" i="1"/>
  <c r="M573" i="1"/>
  <c r="M581" i="1"/>
  <c r="M589" i="1"/>
  <c r="M597" i="1"/>
  <c r="M613" i="1"/>
  <c r="M614" i="1"/>
  <c r="M622" i="1"/>
  <c r="M630" i="1"/>
  <c r="M638" i="1"/>
  <c r="M646" i="1"/>
  <c r="M654" i="1"/>
  <c r="M662" i="1"/>
  <c r="M670" i="1"/>
  <c r="M678" i="1"/>
  <c r="M686" i="1"/>
  <c r="M694" i="1"/>
  <c r="M702" i="1"/>
  <c r="M710" i="1"/>
  <c r="M718" i="1"/>
  <c r="M735" i="1"/>
  <c r="M743" i="1"/>
  <c r="M751" i="1"/>
  <c r="M759" i="1"/>
  <c r="M767" i="1"/>
  <c r="M775" i="1"/>
  <c r="M783" i="1"/>
  <c r="M791" i="1"/>
  <c r="M799" i="1"/>
  <c r="M807" i="1"/>
  <c r="M815" i="1"/>
  <c r="M823" i="1"/>
  <c r="M831" i="1"/>
  <c r="M839" i="1"/>
  <c r="M856" i="1"/>
  <c r="M864" i="1"/>
  <c r="M872" i="1"/>
  <c r="M880" i="1"/>
  <c r="M888" i="1"/>
  <c r="M896" i="1"/>
  <c r="M904" i="1"/>
  <c r="M912" i="1"/>
  <c r="M920" i="1"/>
  <c r="M928" i="1"/>
  <c r="M936" i="1"/>
  <c r="M944" i="1"/>
  <c r="M952" i="1"/>
  <c r="M960" i="1"/>
  <c r="M977" i="1"/>
  <c r="M985" i="1"/>
  <c r="M1025" i="1"/>
  <c r="M348" i="1"/>
  <c r="M356" i="1"/>
  <c r="M381" i="1"/>
  <c r="M389" i="1"/>
  <c r="M397" i="1"/>
  <c r="M405" i="1"/>
  <c r="M413" i="1"/>
  <c r="M421" i="1"/>
  <c r="M429" i="1"/>
  <c r="M437" i="1"/>
  <c r="M445" i="1"/>
  <c r="M453" i="1"/>
  <c r="M461" i="1"/>
  <c r="M469" i="1"/>
  <c r="M477" i="1"/>
  <c r="M494" i="1"/>
  <c r="M493" i="1"/>
  <c r="M483" i="1"/>
  <c r="M491" i="1"/>
  <c r="M484" i="1"/>
  <c r="M492" i="1"/>
  <c r="M485" i="1"/>
  <c r="M486" i="1"/>
  <c r="M487" i="1"/>
  <c r="M488" i="1"/>
  <c r="M489" i="1"/>
  <c r="M502" i="1"/>
  <c r="M510" i="1"/>
  <c r="M518" i="1"/>
  <c r="M526" i="1"/>
  <c r="M534" i="1"/>
  <c r="M542" i="1"/>
  <c r="M550" i="1"/>
  <c r="M558" i="1"/>
  <c r="M566" i="1"/>
  <c r="M574" i="1"/>
  <c r="M590" i="1"/>
  <c r="M598" i="1"/>
  <c r="M615" i="1"/>
  <c r="M623" i="1"/>
  <c r="M631" i="1"/>
  <c r="M639" i="1"/>
  <c r="M647" i="1"/>
  <c r="M655" i="1"/>
  <c r="M663" i="1"/>
  <c r="M671" i="1"/>
  <c r="M679" i="1"/>
  <c r="M687" i="1"/>
  <c r="M695" i="1"/>
  <c r="M711" i="1"/>
  <c r="M719" i="1"/>
  <c r="M736" i="1"/>
  <c r="M744" i="1"/>
  <c r="M752" i="1"/>
  <c r="M760" i="1"/>
  <c r="M768" i="1"/>
  <c r="M776" i="1"/>
  <c r="M784" i="1"/>
  <c r="M792" i="1"/>
  <c r="M800" i="1"/>
  <c r="M808" i="1"/>
  <c r="M816" i="1"/>
  <c r="M824" i="1"/>
  <c r="M832" i="1"/>
  <c r="M840" i="1"/>
  <c r="M857" i="1"/>
  <c r="M865" i="1"/>
  <c r="M873" i="1"/>
  <c r="M881" i="1"/>
  <c r="M889" i="1"/>
  <c r="M897" i="1"/>
  <c r="M905" i="1"/>
  <c r="M913" i="1"/>
  <c r="M921" i="1"/>
  <c r="M929" i="1"/>
  <c r="M937" i="1"/>
  <c r="M1002" i="1"/>
  <c r="M1050" i="1"/>
  <c r="M1139" i="1"/>
  <c r="M140" i="1"/>
  <c r="M148" i="1"/>
  <c r="M156" i="1"/>
  <c r="M164" i="1"/>
  <c r="M172" i="1"/>
  <c r="M180" i="1"/>
  <c r="M188" i="1"/>
  <c r="M196" i="1"/>
  <c r="M204" i="1"/>
  <c r="M212" i="1"/>
  <c r="M220" i="1"/>
  <c r="M228" i="1"/>
  <c r="M236" i="1"/>
  <c r="M261" i="1"/>
  <c r="M269" i="1"/>
  <c r="M277" i="1"/>
  <c r="M285" i="1"/>
  <c r="M293" i="1"/>
  <c r="M301" i="1"/>
  <c r="M309" i="1"/>
  <c r="M317" i="1"/>
  <c r="M325" i="1"/>
  <c r="M333" i="1"/>
  <c r="M341" i="1"/>
  <c r="M349" i="1"/>
  <c r="M357" i="1"/>
  <c r="M374" i="1"/>
  <c r="M373" i="1"/>
  <c r="M382" i="1"/>
  <c r="M390" i="1"/>
  <c r="M398" i="1"/>
  <c r="M406" i="1"/>
  <c r="M414" i="1"/>
  <c r="M422" i="1"/>
  <c r="M430" i="1"/>
  <c r="M438" i="1"/>
  <c r="M446" i="1"/>
  <c r="M454" i="1"/>
  <c r="M462" i="1"/>
  <c r="M470" i="1"/>
  <c r="M478" i="1"/>
  <c r="M495" i="1"/>
  <c r="M503" i="1"/>
  <c r="M511" i="1"/>
  <c r="M519" i="1"/>
  <c r="M527" i="1"/>
  <c r="M535" i="1"/>
  <c r="M543" i="1"/>
  <c r="M559" i="1"/>
  <c r="M567" i="1"/>
  <c r="M575" i="1"/>
  <c r="M583" i="1"/>
  <c r="M591" i="1"/>
  <c r="M599" i="1"/>
  <c r="M616" i="1"/>
  <c r="M624" i="1"/>
  <c r="M632" i="1"/>
  <c r="M640" i="1"/>
  <c r="M648" i="1"/>
  <c r="M656" i="1"/>
  <c r="M664" i="1"/>
  <c r="M672" i="1"/>
  <c r="M680" i="1"/>
  <c r="M688" i="1"/>
  <c r="M696" i="1"/>
  <c r="M704" i="1"/>
  <c r="M712" i="1"/>
  <c r="M720" i="1"/>
  <c r="M737" i="1"/>
  <c r="M745" i="1"/>
  <c r="M753" i="1"/>
  <c r="M761" i="1"/>
  <c r="M769" i="1"/>
  <c r="M777" i="1"/>
  <c r="M785" i="1"/>
  <c r="M793" i="1"/>
  <c r="M801" i="1"/>
  <c r="M809" i="1"/>
  <c r="M817" i="1"/>
  <c r="M825" i="1"/>
  <c r="M833" i="1"/>
  <c r="M841" i="1"/>
  <c r="M858" i="1"/>
  <c r="M866" i="1"/>
  <c r="M874" i="1"/>
  <c r="M882" i="1"/>
  <c r="M890" i="1"/>
  <c r="M898" i="1"/>
  <c r="M906" i="1"/>
  <c r="M914" i="1"/>
  <c r="M922" i="1"/>
  <c r="M930" i="1"/>
  <c r="M938" i="1"/>
  <c r="M946" i="1"/>
  <c r="M954" i="1"/>
  <c r="M979" i="1"/>
  <c r="M987" i="1"/>
  <c r="M995" i="1"/>
  <c r="M1003" i="1"/>
  <c r="M1011" i="1"/>
  <c r="M1019" i="1"/>
  <c r="M1027" i="1"/>
  <c r="M1035" i="1"/>
  <c r="M1043" i="1"/>
  <c r="M1051" i="1"/>
  <c r="M1059" i="1"/>
  <c r="M1067" i="1"/>
  <c r="M1075" i="1"/>
  <c r="M1108" i="1"/>
  <c r="M1116" i="1"/>
  <c r="M1124" i="1"/>
  <c r="M1132" i="1"/>
  <c r="M1140" i="1"/>
  <c r="M1148" i="1"/>
  <c r="M1156" i="1"/>
  <c r="M1164" i="1"/>
  <c r="M1172" i="1"/>
  <c r="M997" i="1"/>
  <c r="M1005" i="1"/>
  <c r="M1013" i="1"/>
  <c r="M1021" i="1"/>
  <c r="M1029" i="1"/>
  <c r="M1037" i="1"/>
  <c r="M1045" i="1"/>
  <c r="M1053" i="1"/>
  <c r="M1061" i="1"/>
  <c r="M1069" i="1"/>
  <c r="M1077" i="1"/>
  <c r="M1094" i="1"/>
  <c r="M1093" i="1"/>
  <c r="M1102" i="1"/>
  <c r="M1110" i="1"/>
  <c r="M1118" i="1"/>
  <c r="M1126" i="1"/>
  <c r="M1134" i="1"/>
  <c r="M1142" i="1"/>
  <c r="M1158" i="1"/>
  <c r="M1166" i="1"/>
  <c r="M1174" i="1"/>
  <c r="M1182" i="1"/>
  <c r="M1190" i="1"/>
  <c r="M1198" i="1"/>
  <c r="M941" i="1"/>
  <c r="M957" i="1"/>
  <c r="M974" i="1"/>
  <c r="M973" i="1"/>
  <c r="M982" i="1"/>
  <c r="M990" i="1"/>
  <c r="M998" i="1"/>
  <c r="M1006" i="1"/>
  <c r="M1014" i="1"/>
  <c r="M1022" i="1"/>
  <c r="M1030" i="1"/>
  <c r="M1038" i="1"/>
  <c r="M1046" i="1"/>
  <c r="M1054" i="1"/>
  <c r="M1062" i="1"/>
  <c r="M1070" i="1"/>
  <c r="M1078" i="1"/>
  <c r="M1095" i="1"/>
  <c r="M1103" i="1"/>
  <c r="M1119" i="1"/>
  <c r="M1127" i="1"/>
  <c r="M1135" i="1"/>
  <c r="M1143" i="1"/>
  <c r="M1151" i="1"/>
  <c r="M1159" i="1"/>
  <c r="M1167" i="1"/>
  <c r="M1183" i="1"/>
  <c r="M1191" i="1"/>
  <c r="M1199" i="1"/>
  <c r="M950" i="1"/>
  <c r="M958" i="1"/>
  <c r="M975" i="1"/>
  <c r="M983" i="1"/>
  <c r="M991" i="1"/>
  <c r="M999" i="1"/>
  <c r="M1007" i="1"/>
  <c r="M1015" i="1"/>
  <c r="M1023" i="1"/>
  <c r="M1031" i="1"/>
  <c r="M1039" i="1"/>
  <c r="M1047" i="1"/>
  <c r="M1055" i="1"/>
  <c r="M1063" i="1"/>
  <c r="M1071" i="1"/>
  <c r="M1079" i="1"/>
  <c r="M1096" i="1"/>
  <c r="M1104" i="1"/>
  <c r="M1112" i="1"/>
  <c r="M1120" i="1"/>
  <c r="M1128" i="1"/>
  <c r="M1136" i="1"/>
  <c r="M1144" i="1"/>
  <c r="M1152" i="1"/>
  <c r="M1160" i="1"/>
  <c r="M1168" i="1"/>
  <c r="M1176" i="1"/>
  <c r="M1184" i="1"/>
  <c r="M1192" i="1"/>
  <c r="M1200" i="1"/>
  <c r="M1177" i="1"/>
  <c r="M1185" i="1"/>
  <c r="M1193" i="1"/>
  <c r="M1201" i="1"/>
  <c r="M993" i="1"/>
  <c r="M1001" i="1"/>
  <c r="M1009" i="1"/>
  <c r="M1017" i="1"/>
  <c r="M1033" i="1"/>
  <c r="M1041" i="1"/>
  <c r="M1049" i="1"/>
  <c r="M1057" i="1"/>
  <c r="M1065" i="1"/>
  <c r="M1073" i="1"/>
  <c r="M1081" i="1"/>
  <c r="M1098" i="1"/>
  <c r="M1106" i="1"/>
  <c r="M1114" i="1"/>
  <c r="M1122" i="1"/>
  <c r="M1130" i="1"/>
  <c r="M1138" i="1"/>
  <c r="M1146" i="1"/>
  <c r="M1154" i="1"/>
  <c r="M1162" i="1"/>
  <c r="M1170" i="1"/>
  <c r="M1178" i="1"/>
  <c r="M1186" i="1"/>
  <c r="M1194" i="1"/>
  <c r="M945" i="1"/>
  <c r="M953" i="1"/>
  <c r="M961" i="1"/>
  <c r="M978" i="1"/>
  <c r="M986" i="1"/>
  <c r="M994" i="1"/>
  <c r="M1010" i="1"/>
  <c r="M1018" i="1"/>
  <c r="M1026" i="1"/>
  <c r="M1034" i="1"/>
  <c r="M1042" i="1"/>
  <c r="M1058" i="1"/>
  <c r="M1066" i="1"/>
  <c r="M1074" i="1"/>
  <c r="M1099" i="1"/>
  <c r="M1107" i="1"/>
  <c r="M1115" i="1"/>
  <c r="M1123" i="1"/>
  <c r="M1131" i="1"/>
  <c r="M1147" i="1"/>
  <c r="M1155" i="1"/>
  <c r="M1163" i="1"/>
  <c r="M1171" i="1"/>
  <c r="M1179" i="1"/>
  <c r="M1187" i="1"/>
  <c r="M1195" i="1"/>
  <c r="M1180" i="1"/>
  <c r="M1188" i="1"/>
  <c r="M1196" i="1"/>
  <c r="S29" i="1"/>
  <c r="S27" i="1"/>
  <c r="S45" i="1"/>
  <c r="S38" i="1"/>
  <c r="S53" i="1"/>
  <c r="S48" i="1"/>
  <c r="S61" i="1"/>
  <c r="S59" i="1"/>
  <c r="S77" i="1"/>
  <c r="S70" i="1"/>
  <c r="S85" i="1"/>
  <c r="S80" i="1"/>
  <c r="S133" i="1"/>
  <c r="S134" i="1"/>
  <c r="S158" i="1"/>
  <c r="S155" i="1"/>
  <c r="S174" i="1"/>
  <c r="S171" i="1"/>
  <c r="S190" i="1"/>
  <c r="S183" i="1"/>
  <c r="S198" i="1"/>
  <c r="S194" i="1"/>
  <c r="S206" i="1"/>
  <c r="S204" i="1"/>
  <c r="S222" i="1"/>
  <c r="S215" i="1"/>
  <c r="S230" i="1"/>
  <c r="S226" i="1"/>
  <c r="S238" i="1"/>
  <c r="S236" i="1"/>
  <c r="S263" i="1"/>
  <c r="S256" i="1"/>
  <c r="S287" i="1"/>
  <c r="S280" i="1"/>
  <c r="S295" i="1"/>
  <c r="S303" i="1"/>
  <c r="S300" i="1"/>
  <c r="S311" i="1"/>
  <c r="S327" i="1"/>
  <c r="S320" i="1"/>
  <c r="S343" i="1"/>
  <c r="S340" i="1"/>
  <c r="S384" i="1"/>
  <c r="S380" i="1"/>
  <c r="S408" i="1"/>
  <c r="S407" i="1"/>
  <c r="S464" i="1"/>
  <c r="S459" i="1"/>
  <c r="S89" i="1"/>
  <c r="S224" i="1"/>
  <c r="S339" i="1"/>
  <c r="S378" i="1"/>
  <c r="S15" i="1"/>
  <c r="S79" i="1"/>
  <c r="S213" i="1"/>
  <c r="S68" i="1"/>
  <c r="S203" i="1"/>
  <c r="S112" i="1"/>
  <c r="S57" i="1"/>
  <c r="S192" i="1"/>
  <c r="S276" i="1"/>
  <c r="S111" i="1"/>
  <c r="S47" i="1"/>
  <c r="S181" i="1"/>
  <c r="S14" i="1"/>
  <c r="S17" i="1"/>
  <c r="S26" i="1"/>
  <c r="S22" i="1"/>
  <c r="S34" i="1"/>
  <c r="S42" i="1"/>
  <c r="S50" i="1"/>
  <c r="S58" i="1"/>
  <c r="S66" i="1"/>
  <c r="S74" i="1"/>
  <c r="S82" i="1"/>
  <c r="S90" i="1"/>
  <c r="S98" i="1"/>
  <c r="S106" i="1"/>
  <c r="S114" i="1"/>
  <c r="S141" i="1"/>
  <c r="S140" i="1"/>
  <c r="S149" i="1"/>
  <c r="S147" i="1"/>
  <c r="S148" i="1"/>
  <c r="S157" i="1"/>
  <c r="S152" i="1"/>
  <c r="S162" i="1"/>
  <c r="S165" i="1"/>
  <c r="S160" i="1"/>
  <c r="S170" i="1"/>
  <c r="S173" i="1"/>
  <c r="S177" i="1"/>
  <c r="S185" i="1"/>
  <c r="S193" i="1"/>
  <c r="S201" i="1"/>
  <c r="S209" i="1"/>
  <c r="S217" i="1"/>
  <c r="S225" i="1"/>
  <c r="S233" i="1"/>
  <c r="S241" i="1"/>
  <c r="S254" i="1"/>
  <c r="S262" i="1"/>
  <c r="S259" i="1"/>
  <c r="S260" i="1"/>
  <c r="S270" i="1"/>
  <c r="S264" i="1"/>
  <c r="S266" i="1"/>
  <c r="S278" i="1"/>
  <c r="S272" i="1"/>
  <c r="S274" i="1"/>
  <c r="S286" i="1"/>
  <c r="S284" i="1"/>
  <c r="S294" i="1"/>
  <c r="S291" i="1"/>
  <c r="S302" i="1"/>
  <c r="S298" i="1"/>
  <c r="S299" i="1"/>
  <c r="S310" i="1"/>
  <c r="S304" i="1"/>
  <c r="S317" i="1"/>
  <c r="S318" i="1"/>
  <c r="S312" i="1"/>
  <c r="S316" i="1"/>
  <c r="S325" i="1"/>
  <c r="S326" i="1"/>
  <c r="S323" i="1"/>
  <c r="S324" i="1"/>
  <c r="S333" i="1"/>
  <c r="S334" i="1"/>
  <c r="S330" i="1"/>
  <c r="S341" i="1"/>
  <c r="S342" i="1"/>
  <c r="S336" i="1"/>
  <c r="S338" i="1"/>
  <c r="S349" i="1"/>
  <c r="S350" i="1"/>
  <c r="S345" i="1"/>
  <c r="S348" i="1"/>
  <c r="S357" i="1"/>
  <c r="S358" i="1"/>
  <c r="S353" i="1"/>
  <c r="S355" i="1"/>
  <c r="S361" i="1"/>
  <c r="S375" i="1"/>
  <c r="S373" i="1"/>
  <c r="S383" i="1"/>
  <c r="S382" i="1"/>
  <c r="S377" i="1"/>
  <c r="S386" i="1"/>
  <c r="S389" i="1"/>
  <c r="S390" i="1"/>
  <c r="S398" i="1"/>
  <c r="S399" i="1"/>
  <c r="S403" i="1"/>
  <c r="S404" i="1"/>
  <c r="S411" i="1"/>
  <c r="S412" i="1"/>
  <c r="S415" i="1"/>
  <c r="S423" i="1"/>
  <c r="S428" i="1"/>
  <c r="S430" i="1"/>
  <c r="S436" i="1"/>
  <c r="S438" i="1"/>
  <c r="S443" i="1"/>
  <c r="S451" i="1"/>
  <c r="S454" i="1"/>
  <c r="S455" i="1"/>
  <c r="S462" i="1"/>
  <c r="S463" i="1"/>
  <c r="S467" i="1"/>
  <c r="S468" i="1"/>
  <c r="S475" i="1"/>
  <c r="S476" i="1"/>
  <c r="S479" i="1"/>
  <c r="S504" i="1"/>
  <c r="S497" i="1"/>
  <c r="S503" i="1"/>
  <c r="S505" i="1"/>
  <c r="S506" i="1"/>
  <c r="S520" i="1"/>
  <c r="S513" i="1"/>
  <c r="S515" i="1"/>
  <c r="S519" i="1"/>
  <c r="S536" i="1"/>
  <c r="S529" i="1"/>
  <c r="S533" i="1"/>
  <c r="S537" i="1"/>
  <c r="S538" i="1"/>
  <c r="S552" i="1"/>
  <c r="S547" i="1"/>
  <c r="S549" i="1"/>
  <c r="S554" i="1"/>
  <c r="S555" i="1"/>
  <c r="S568" i="1"/>
  <c r="S565" i="1"/>
  <c r="S567" i="1"/>
  <c r="S573" i="1"/>
  <c r="S575" i="1"/>
  <c r="S570" i="1"/>
  <c r="S571" i="1"/>
  <c r="S584" i="1"/>
  <c r="S581" i="1"/>
  <c r="S583" i="1"/>
  <c r="S587" i="1"/>
  <c r="S590" i="1"/>
  <c r="S594" i="1"/>
  <c r="S597" i="1"/>
  <c r="S599" i="1"/>
  <c r="S625" i="1"/>
  <c r="S618" i="1"/>
  <c r="S620" i="1"/>
  <c r="S633" i="1"/>
  <c r="S628" i="1"/>
  <c r="S632" i="1"/>
  <c r="S629" i="1"/>
  <c r="S641" i="1"/>
  <c r="S635" i="1"/>
  <c r="S637" i="1"/>
  <c r="S639" i="1"/>
  <c r="S643" i="1"/>
  <c r="S649" i="1"/>
  <c r="S642" i="1"/>
  <c r="S655" i="1"/>
  <c r="S653" i="1"/>
  <c r="S657" i="1"/>
  <c r="S665" i="1"/>
  <c r="S658" i="1"/>
  <c r="S659" i="1"/>
  <c r="S664" i="1"/>
  <c r="S672" i="1"/>
  <c r="S673" i="1"/>
  <c r="S671" i="1"/>
  <c r="S675" i="1"/>
  <c r="S674" i="1"/>
  <c r="S679" i="1"/>
  <c r="S680" i="1"/>
  <c r="S681" i="1"/>
  <c r="S683" i="1"/>
  <c r="S687" i="1"/>
  <c r="S685" i="1"/>
  <c r="S693" i="1"/>
  <c r="S695" i="1"/>
  <c r="S691" i="1"/>
  <c r="S696" i="1"/>
  <c r="S697" i="1"/>
  <c r="S704" i="1"/>
  <c r="S705" i="1"/>
  <c r="S699" i="1"/>
  <c r="S701" i="1"/>
  <c r="S703" i="1"/>
  <c r="S709" i="1"/>
  <c r="S711" i="1"/>
  <c r="S712" i="1"/>
  <c r="S715" i="1"/>
  <c r="S720" i="1"/>
  <c r="S717" i="1"/>
  <c r="S719" i="1"/>
  <c r="S721" i="1"/>
  <c r="S738" i="1"/>
  <c r="S733" i="1"/>
  <c r="S736" i="1"/>
  <c r="S743" i="1"/>
  <c r="S742" i="1"/>
  <c r="S746" i="1"/>
  <c r="S751" i="1"/>
  <c r="S752" i="1"/>
  <c r="S749" i="1"/>
  <c r="S750" i="1"/>
  <c r="S754" i="1"/>
  <c r="S757" i="1"/>
  <c r="S762" i="1"/>
  <c r="S765" i="1"/>
  <c r="S766" i="1"/>
  <c r="S768" i="1"/>
  <c r="S770" i="1"/>
  <c r="S767" i="1"/>
  <c r="S776" i="1"/>
  <c r="S778" i="1"/>
  <c r="S773" i="1"/>
  <c r="S774" i="1"/>
  <c r="S775" i="1"/>
  <c r="S782" i="1"/>
  <c r="S783" i="1"/>
  <c r="S781" i="1"/>
  <c r="S790" i="1"/>
  <c r="S791" i="1"/>
  <c r="S794" i="1"/>
  <c r="S789" i="1"/>
  <c r="S792" i="1"/>
  <c r="S802" i="1"/>
  <c r="S797" i="1"/>
  <c r="S798" i="1"/>
  <c r="S799" i="1"/>
  <c r="S800" i="1"/>
  <c r="S805" i="1"/>
  <c r="S807" i="1"/>
  <c r="S808" i="1"/>
  <c r="S806" i="1"/>
  <c r="S815" i="1"/>
  <c r="S816" i="1"/>
  <c r="S814" i="1"/>
  <c r="S818" i="1"/>
  <c r="S821" i="1"/>
  <c r="S822" i="1"/>
  <c r="S823" i="1"/>
  <c r="S824" i="1"/>
  <c r="S826" i="1"/>
  <c r="S829" i="1"/>
  <c r="S830" i="1"/>
  <c r="S832" i="1"/>
  <c r="S834" i="1"/>
  <c r="S831" i="1"/>
  <c r="S840" i="1"/>
  <c r="S839" i="1"/>
  <c r="S859" i="1"/>
  <c r="S854" i="1"/>
  <c r="S855" i="1"/>
  <c r="S858" i="1"/>
  <c r="S853" i="1"/>
  <c r="S856" i="1"/>
  <c r="S861" i="1"/>
  <c r="S866" i="1"/>
  <c r="S867" i="1"/>
  <c r="S863" i="1"/>
  <c r="S874" i="1"/>
  <c r="S875" i="1"/>
  <c r="S871" i="1"/>
  <c r="S877" i="1"/>
  <c r="S879" i="1"/>
  <c r="S876" i="1"/>
  <c r="S882" i="1"/>
  <c r="S883" i="1"/>
  <c r="S885" i="1"/>
  <c r="S887" i="1"/>
  <c r="S891" i="1"/>
  <c r="S884" i="1"/>
  <c r="S890" i="1"/>
  <c r="S899" i="1"/>
  <c r="S892" i="1"/>
  <c r="S898" i="1"/>
  <c r="S900" i="1"/>
  <c r="S903" i="1"/>
  <c r="S906" i="1"/>
  <c r="S901" i="1"/>
  <c r="S907" i="1"/>
  <c r="S911" i="1"/>
  <c r="S914" i="1"/>
  <c r="S908" i="1"/>
  <c r="S909" i="1"/>
  <c r="S915" i="1"/>
  <c r="S916" i="1"/>
  <c r="S917" i="1"/>
  <c r="S923" i="1"/>
  <c r="S924" i="1"/>
  <c r="S925" i="1"/>
  <c r="S930" i="1"/>
  <c r="S931" i="1"/>
  <c r="S927" i="1"/>
  <c r="S938" i="1"/>
  <c r="S939" i="1"/>
  <c r="S932" i="1"/>
  <c r="S933" i="1"/>
  <c r="S935" i="1"/>
  <c r="S941" i="1"/>
  <c r="S943" i="1"/>
  <c r="S940" i="1"/>
  <c r="S949" i="1"/>
  <c r="S951" i="1"/>
  <c r="S955" i="1"/>
  <c r="S948" i="1"/>
  <c r="S954" i="1"/>
  <c r="S956" i="1"/>
  <c r="S957" i="1"/>
  <c r="S959" i="1"/>
  <c r="S962" i="1"/>
  <c r="S980" i="1"/>
  <c r="S979" i="1"/>
  <c r="S973" i="1"/>
  <c r="S976" i="1"/>
  <c r="S977" i="1"/>
  <c r="S978" i="1"/>
  <c r="S988" i="1"/>
  <c r="S981" i="1"/>
  <c r="S985" i="1"/>
  <c r="S986" i="1"/>
  <c r="S984" i="1"/>
  <c r="S996" i="1"/>
  <c r="S993" i="1"/>
  <c r="S994" i="1"/>
  <c r="S992" i="1"/>
  <c r="S995" i="1"/>
  <c r="S1004" i="1"/>
  <c r="S997" i="1"/>
  <c r="S1000" i="1"/>
  <c r="S1001" i="1"/>
  <c r="S1002" i="1"/>
  <c r="S1003" i="1"/>
  <c r="S1012" i="1"/>
  <c r="S1005" i="1"/>
  <c r="S1008" i="1"/>
  <c r="S1010" i="1"/>
  <c r="S1011" i="1"/>
  <c r="S1009" i="1"/>
  <c r="S1020" i="1"/>
  <c r="S1018" i="1"/>
  <c r="S1019" i="1"/>
  <c r="S1017" i="1"/>
  <c r="S1028" i="1"/>
  <c r="S1024" i="1"/>
  <c r="S1025" i="1"/>
  <c r="S1021" i="1"/>
  <c r="S1026" i="1"/>
  <c r="S1027" i="1"/>
  <c r="S1036" i="1"/>
  <c r="S1032" i="1"/>
  <c r="S1033" i="1"/>
  <c r="S1035" i="1"/>
  <c r="S1029" i="1"/>
  <c r="S1034" i="1"/>
  <c r="S1044" i="1"/>
  <c r="S1043" i="1"/>
  <c r="S1037" i="1"/>
  <c r="S1042" i="1"/>
  <c r="S1052" i="1"/>
  <c r="S1045" i="1"/>
  <c r="S1049" i="1"/>
  <c r="S1050" i="1"/>
  <c r="S1048" i="1"/>
  <c r="S1051" i="1"/>
  <c r="S1060" i="1"/>
  <c r="S1057" i="1"/>
  <c r="S1058" i="1"/>
  <c r="S1053" i="1"/>
  <c r="S1056" i="1"/>
  <c r="S1059" i="1"/>
  <c r="S1068" i="1"/>
  <c r="S1061" i="1"/>
  <c r="S1064" i="1"/>
  <c r="S1067" i="1"/>
  <c r="S1076" i="1"/>
  <c r="S1069" i="1"/>
  <c r="S1072" i="1"/>
  <c r="S1074" i="1"/>
  <c r="S1075" i="1"/>
  <c r="S1073" i="1"/>
  <c r="S1077" i="1"/>
  <c r="S1080" i="1"/>
  <c r="S1081" i="1"/>
  <c r="S1098" i="1"/>
  <c r="S1101" i="1"/>
  <c r="S1093" i="1"/>
  <c r="S1095" i="1"/>
  <c r="S1103" i="1"/>
  <c r="S1106" i="1"/>
  <c r="S1102" i="1"/>
  <c r="S1109" i="1"/>
  <c r="S1114" i="1"/>
  <c r="S1117" i="1"/>
  <c r="S1110" i="1"/>
  <c r="S1111" i="1"/>
  <c r="S1119" i="1"/>
  <c r="S1122" i="1"/>
  <c r="S1118" i="1"/>
  <c r="S1130" i="1"/>
  <c r="S1133" i="1"/>
  <c r="S1127" i="1"/>
  <c r="S1135" i="1"/>
  <c r="S1138" i="1"/>
  <c r="S1134" i="1"/>
  <c r="S1141" i="1"/>
  <c r="S1146" i="1"/>
  <c r="S1149" i="1"/>
  <c r="S1142" i="1"/>
  <c r="S1143" i="1"/>
  <c r="S1151" i="1"/>
  <c r="S1154" i="1"/>
  <c r="S1150" i="1"/>
  <c r="S1162" i="1"/>
  <c r="S1165" i="1"/>
  <c r="S1159" i="1"/>
  <c r="S1167" i="1"/>
  <c r="S1170" i="1"/>
  <c r="S1166" i="1"/>
  <c r="S1173" i="1"/>
  <c r="S1178" i="1"/>
  <c r="S1181" i="1"/>
  <c r="S1174" i="1"/>
  <c r="S1175" i="1"/>
  <c r="S1183" i="1"/>
  <c r="S1186" i="1"/>
  <c r="S1182" i="1"/>
  <c r="S13" i="1"/>
  <c r="S120" i="1"/>
  <c r="S110" i="1"/>
  <c r="S99" i="1"/>
  <c r="S88" i="1"/>
  <c r="S78" i="1"/>
  <c r="S67" i="1"/>
  <c r="S56" i="1"/>
  <c r="S46" i="1"/>
  <c r="S35" i="1"/>
  <c r="S24" i="1"/>
  <c r="S234" i="1"/>
  <c r="S223" i="1"/>
  <c r="S212" i="1"/>
  <c r="S202" i="1"/>
  <c r="S191" i="1"/>
  <c r="S180" i="1"/>
  <c r="S167" i="1"/>
  <c r="S356" i="1"/>
  <c r="S315" i="1"/>
  <c r="S275" i="1"/>
  <c r="S478" i="1"/>
  <c r="S452" i="1"/>
  <c r="S427" i="1"/>
  <c r="S600" i="1"/>
  <c r="S569" i="1"/>
  <c r="S535" i="1"/>
  <c r="S495" i="1"/>
  <c r="S690" i="1"/>
  <c r="S813" i="1"/>
  <c r="S947" i="1"/>
  <c r="S119" i="1"/>
  <c r="S108" i="1"/>
  <c r="S97" i="1"/>
  <c r="S87" i="1"/>
  <c r="S76" i="1"/>
  <c r="S65" i="1"/>
  <c r="S55" i="1"/>
  <c r="S44" i="1"/>
  <c r="S33" i="1"/>
  <c r="S23" i="1"/>
  <c r="S232" i="1"/>
  <c r="S221" i="1"/>
  <c r="S211" i="1"/>
  <c r="S200" i="1"/>
  <c r="S189" i="1"/>
  <c r="S179" i="1"/>
  <c r="S164" i="1"/>
  <c r="S144" i="1"/>
  <c r="S354" i="1"/>
  <c r="S332" i="1"/>
  <c r="S314" i="1"/>
  <c r="S292" i="1"/>
  <c r="S447" i="1"/>
  <c r="S422" i="1"/>
  <c r="S396" i="1"/>
  <c r="S595" i="1"/>
  <c r="S561" i="1"/>
  <c r="S528" i="1"/>
  <c r="S253" i="1"/>
  <c r="S689" i="1"/>
  <c r="S810" i="1"/>
  <c r="S946" i="1"/>
  <c r="S20" i="1"/>
  <c r="S107" i="1"/>
  <c r="S96" i="1"/>
  <c r="S86" i="1"/>
  <c r="S75" i="1"/>
  <c r="S64" i="1"/>
  <c r="S54" i="1"/>
  <c r="S43" i="1"/>
  <c r="S32" i="1"/>
  <c r="S231" i="1"/>
  <c r="S220" i="1"/>
  <c r="S210" i="1"/>
  <c r="S199" i="1"/>
  <c r="S188" i="1"/>
  <c r="S178" i="1"/>
  <c r="S163" i="1"/>
  <c r="S143" i="1"/>
  <c r="S352" i="1"/>
  <c r="S331" i="1"/>
  <c r="S308" i="1"/>
  <c r="S290" i="1"/>
  <c r="S268" i="1"/>
  <c r="S471" i="1"/>
  <c r="S446" i="1"/>
  <c r="S420" i="1"/>
  <c r="S395" i="1"/>
  <c r="S592" i="1"/>
  <c r="S560" i="1"/>
  <c r="S527" i="1"/>
  <c r="S616" i="1"/>
  <c r="S669" i="1"/>
  <c r="S786" i="1"/>
  <c r="S922" i="1"/>
  <c r="S1041" i="1"/>
  <c r="S19" i="1"/>
  <c r="S116" i="1"/>
  <c r="S105" i="1"/>
  <c r="S95" i="1"/>
  <c r="S84" i="1"/>
  <c r="S73" i="1"/>
  <c r="S63" i="1"/>
  <c r="S52" i="1"/>
  <c r="S41" i="1"/>
  <c r="S31" i="1"/>
  <c r="S240" i="1"/>
  <c r="S229" i="1"/>
  <c r="S219" i="1"/>
  <c r="S208" i="1"/>
  <c r="S197" i="1"/>
  <c r="S187" i="1"/>
  <c r="S176" i="1"/>
  <c r="S159" i="1"/>
  <c r="S347" i="1"/>
  <c r="S328" i="1"/>
  <c r="S307" i="1"/>
  <c r="S288" i="1"/>
  <c r="S267" i="1"/>
  <c r="S470" i="1"/>
  <c r="S444" i="1"/>
  <c r="S419" i="1"/>
  <c r="S391" i="1"/>
  <c r="S591" i="1"/>
  <c r="S559" i="1"/>
  <c r="S523" i="1"/>
  <c r="S623" i="1"/>
  <c r="S667" i="1"/>
  <c r="S784" i="1"/>
  <c r="S919" i="1"/>
  <c r="S1040" i="1"/>
  <c r="S1157" i="1"/>
  <c r="S18" i="1"/>
  <c r="S115" i="1"/>
  <c r="S104" i="1"/>
  <c r="S94" i="1"/>
  <c r="S83" i="1"/>
  <c r="S72" i="1"/>
  <c r="S62" i="1"/>
  <c r="S51" i="1"/>
  <c r="S40" i="1"/>
  <c r="S30" i="1"/>
  <c r="S239" i="1"/>
  <c r="S228" i="1"/>
  <c r="S218" i="1"/>
  <c r="S207" i="1"/>
  <c r="S196" i="1"/>
  <c r="S186" i="1"/>
  <c r="S175" i="1"/>
  <c r="S139" i="1"/>
  <c r="S346" i="1"/>
  <c r="S306" i="1"/>
  <c r="S283" i="1"/>
  <c r="S439" i="1"/>
  <c r="S414" i="1"/>
  <c r="S387" i="1"/>
  <c r="S586" i="1"/>
  <c r="S551" i="1"/>
  <c r="S517" i="1"/>
  <c r="S622" i="1"/>
  <c r="S648" i="1"/>
  <c r="S760" i="1"/>
  <c r="S895" i="1"/>
  <c r="S1016" i="1"/>
  <c r="S1126" i="1"/>
  <c r="S16" i="1"/>
  <c r="S113" i="1"/>
  <c r="S103" i="1"/>
  <c r="S92" i="1"/>
  <c r="S81" i="1"/>
  <c r="S71" i="1"/>
  <c r="S60" i="1"/>
  <c r="S49" i="1"/>
  <c r="S39" i="1"/>
  <c r="S28" i="1"/>
  <c r="S237" i="1"/>
  <c r="S227" i="1"/>
  <c r="S216" i="1"/>
  <c r="S205" i="1"/>
  <c r="S195" i="1"/>
  <c r="S184" i="1"/>
  <c r="S172" i="1"/>
  <c r="S156" i="1"/>
  <c r="S136" i="1"/>
  <c r="S344" i="1"/>
  <c r="S322" i="1"/>
  <c r="S282" i="1"/>
  <c r="S258" i="1"/>
  <c r="S460" i="1"/>
  <c r="S435" i="1"/>
  <c r="S381" i="1"/>
  <c r="S579" i="1"/>
  <c r="S545" i="1"/>
  <c r="S512" i="1"/>
  <c r="S713" i="1"/>
  <c r="S647" i="1"/>
  <c r="S759" i="1"/>
  <c r="S893" i="1"/>
  <c r="S1013" i="1"/>
  <c r="S1125" i="1"/>
  <c r="S1194" i="1"/>
  <c r="S1197" i="1"/>
  <c r="S137" i="1"/>
  <c r="S145" i="1"/>
  <c r="S153" i="1"/>
  <c r="S161" i="1"/>
  <c r="S169" i="1"/>
  <c r="S257" i="1"/>
  <c r="S265" i="1"/>
  <c r="S273" i="1"/>
  <c r="S281" i="1"/>
  <c r="S289" i="1"/>
  <c r="S297" i="1"/>
  <c r="S305" i="1"/>
  <c r="S313" i="1"/>
  <c r="S321" i="1"/>
  <c r="S329" i="1"/>
  <c r="S337" i="1"/>
  <c r="S379" i="1"/>
  <c r="S385" i="1"/>
  <c r="S393" i="1"/>
  <c r="S401" i="1"/>
  <c r="S409" i="1"/>
  <c r="S417" i="1"/>
  <c r="S425" i="1"/>
  <c r="S433" i="1"/>
  <c r="S441" i="1"/>
  <c r="S449" i="1"/>
  <c r="S457" i="1"/>
  <c r="S465" i="1"/>
  <c r="S473" i="1"/>
  <c r="S481" i="1"/>
  <c r="S514" i="1"/>
  <c r="S546" i="1"/>
  <c r="S578" i="1"/>
  <c r="S627" i="1"/>
  <c r="S645" i="1"/>
  <c r="S135" i="1"/>
  <c r="S1198" i="1"/>
  <c r="S1191" i="1"/>
  <c r="S138" i="1"/>
  <c r="S146" i="1"/>
  <c r="S154" i="1"/>
  <c r="S261" i="1"/>
  <c r="S269" i="1"/>
  <c r="S277" i="1"/>
  <c r="S285" i="1"/>
  <c r="S293" i="1"/>
  <c r="S301" i="1"/>
  <c r="S309" i="1"/>
  <c r="S374" i="1"/>
  <c r="S388" i="1"/>
  <c r="S397" i="1"/>
  <c r="S405" i="1"/>
  <c r="S413" i="1"/>
  <c r="S421" i="1"/>
  <c r="S429" i="1"/>
  <c r="S437" i="1"/>
  <c r="S445" i="1"/>
  <c r="S453" i="1"/>
  <c r="S461" i="1"/>
  <c r="S469" i="1"/>
  <c r="S477" i="1"/>
  <c r="S494" i="1"/>
  <c r="S509" i="1"/>
  <c r="S525" i="1"/>
  <c r="S541" i="1"/>
  <c r="S557" i="1"/>
  <c r="S589" i="1"/>
  <c r="S598" i="1"/>
  <c r="S613" i="1"/>
  <c r="S640" i="1"/>
  <c r="S656" i="1"/>
  <c r="S663" i="1"/>
  <c r="S677" i="1"/>
  <c r="S688" i="1"/>
  <c r="S741" i="1"/>
  <c r="S758" i="1"/>
  <c r="S626" i="1"/>
  <c r="S739" i="1"/>
  <c r="S747" i="1"/>
  <c r="S755" i="1"/>
  <c r="S763" i="1"/>
  <c r="S771" i="1"/>
  <c r="S779" i="1"/>
  <c r="S787" i="1"/>
  <c r="S795" i="1"/>
  <c r="S803" i="1"/>
  <c r="S811" i="1"/>
  <c r="S819" i="1"/>
  <c r="S493" i="1"/>
  <c r="S615" i="1"/>
  <c r="S744" i="1"/>
  <c r="S500" i="1"/>
  <c r="S508" i="1"/>
  <c r="S516" i="1"/>
  <c r="S524" i="1"/>
  <c r="S532" i="1"/>
  <c r="S540" i="1"/>
  <c r="S548" i="1"/>
  <c r="S556" i="1"/>
  <c r="S564" i="1"/>
  <c r="S572" i="1"/>
  <c r="S580" i="1"/>
  <c r="S588" i="1"/>
  <c r="S596" i="1"/>
  <c r="S619" i="1"/>
  <c r="S636" i="1"/>
  <c r="S644" i="1"/>
  <c r="S652" i="1"/>
  <c r="S660" i="1"/>
  <c r="S668" i="1"/>
  <c r="S676" i="1"/>
  <c r="S684" i="1"/>
  <c r="S692" i="1"/>
  <c r="S700" i="1"/>
  <c r="S708" i="1"/>
  <c r="S716" i="1"/>
  <c r="S740" i="1"/>
  <c r="S748" i="1"/>
  <c r="S756" i="1"/>
  <c r="S764" i="1"/>
  <c r="S772" i="1"/>
  <c r="S780" i="1"/>
  <c r="S788" i="1"/>
  <c r="S796" i="1"/>
  <c r="S804" i="1"/>
  <c r="S812" i="1"/>
  <c r="S820" i="1"/>
  <c r="S827" i="1"/>
  <c r="S835" i="1"/>
  <c r="S862" i="1"/>
  <c r="S870" i="1"/>
  <c r="S878" i="1"/>
  <c r="S886" i="1"/>
  <c r="S894" i="1"/>
  <c r="S902" i="1"/>
  <c r="S910" i="1"/>
  <c r="S918" i="1"/>
  <c r="S926" i="1"/>
  <c r="S934" i="1"/>
  <c r="S942" i="1"/>
  <c r="S950" i="1"/>
  <c r="S958" i="1"/>
  <c r="S974" i="1"/>
  <c r="S982" i="1"/>
  <c r="S990" i="1"/>
  <c r="S998" i="1"/>
  <c r="S1006" i="1"/>
  <c r="S1014" i="1"/>
  <c r="S1022" i="1"/>
  <c r="S1030" i="1"/>
  <c r="S1038" i="1"/>
  <c r="S1046" i="1"/>
  <c r="S1054" i="1"/>
  <c r="S1062" i="1"/>
  <c r="S1070" i="1"/>
  <c r="S1078" i="1"/>
  <c r="S1096" i="1"/>
  <c r="S1104" i="1"/>
  <c r="S1112" i="1"/>
  <c r="S1120" i="1"/>
  <c r="S1128" i="1"/>
  <c r="S1136" i="1"/>
  <c r="S1144" i="1"/>
  <c r="S1152" i="1"/>
  <c r="S1160" i="1"/>
  <c r="S1168" i="1"/>
  <c r="S1176" i="1"/>
  <c r="S1184" i="1"/>
  <c r="S1192" i="1"/>
  <c r="S1200" i="1"/>
  <c r="S474" i="1"/>
  <c r="S466" i="1"/>
  <c r="S458" i="1"/>
  <c r="S450" i="1"/>
  <c r="S442" i="1"/>
  <c r="S434" i="1"/>
  <c r="S426" i="1"/>
  <c r="S418" i="1"/>
  <c r="S410" i="1"/>
  <c r="S402" i="1"/>
  <c r="S394" i="1"/>
  <c r="S563" i="1"/>
  <c r="S543" i="1"/>
  <c r="S531" i="1"/>
  <c r="S511" i="1"/>
  <c r="S499" i="1"/>
  <c r="S651" i="1"/>
  <c r="S562" i="1"/>
  <c r="S530" i="1"/>
  <c r="S498" i="1"/>
  <c r="S621" i="1"/>
  <c r="S661" i="1"/>
  <c r="S502" i="1"/>
  <c r="S510" i="1"/>
  <c r="S518" i="1"/>
  <c r="S526" i="1"/>
  <c r="S534" i="1"/>
  <c r="S542" i="1"/>
  <c r="S550" i="1"/>
  <c r="S558" i="1"/>
  <c r="S566" i="1"/>
  <c r="S574" i="1"/>
  <c r="S582" i="1"/>
  <c r="S614" i="1"/>
  <c r="S624" i="1"/>
  <c r="S630" i="1"/>
  <c r="S631" i="1"/>
  <c r="S638" i="1"/>
  <c r="S646" i="1"/>
  <c r="S654" i="1"/>
  <c r="S662" i="1"/>
  <c r="S670" i="1"/>
  <c r="S678" i="1"/>
  <c r="S686" i="1"/>
  <c r="S694" i="1"/>
  <c r="S702" i="1"/>
  <c r="S710" i="1"/>
  <c r="S718" i="1"/>
  <c r="S737" i="1"/>
  <c r="S745" i="1"/>
  <c r="S753" i="1"/>
  <c r="S761" i="1"/>
  <c r="S769" i="1"/>
  <c r="S777" i="1"/>
  <c r="S785" i="1"/>
  <c r="S793" i="1"/>
  <c r="S801" i="1"/>
  <c r="S809" i="1"/>
  <c r="S817" i="1"/>
  <c r="S825" i="1"/>
  <c r="S833" i="1"/>
  <c r="S841" i="1"/>
  <c r="S857" i="1"/>
  <c r="S864" i="1"/>
  <c r="S865" i="1"/>
  <c r="S872" i="1"/>
  <c r="S873" i="1"/>
  <c r="S880" i="1"/>
  <c r="S881" i="1"/>
  <c r="S888" i="1"/>
  <c r="S889" i="1"/>
  <c r="S896" i="1"/>
  <c r="S897" i="1"/>
  <c r="S904" i="1"/>
  <c r="S905" i="1"/>
  <c r="S912" i="1"/>
  <c r="S913" i="1"/>
  <c r="S920" i="1"/>
  <c r="S921" i="1"/>
  <c r="S928" i="1"/>
  <c r="S929" i="1"/>
  <c r="S936" i="1"/>
  <c r="S937" i="1"/>
  <c r="S944" i="1"/>
  <c r="S945" i="1"/>
  <c r="S952" i="1"/>
  <c r="S953" i="1"/>
  <c r="S960" i="1"/>
  <c r="S961" i="1"/>
  <c r="S1099" i="1"/>
  <c r="S1100" i="1"/>
  <c r="S1107" i="1"/>
  <c r="S1108" i="1"/>
  <c r="S1115" i="1"/>
  <c r="S1116" i="1"/>
  <c r="S1123" i="1"/>
  <c r="S1124" i="1"/>
  <c r="S1131" i="1"/>
  <c r="S1132" i="1"/>
  <c r="S1139" i="1"/>
  <c r="S1140" i="1"/>
  <c r="S1147" i="1"/>
  <c r="S1148" i="1"/>
  <c r="S1155" i="1"/>
  <c r="S1156" i="1"/>
  <c r="S1163" i="1"/>
  <c r="S1164" i="1"/>
  <c r="S1171" i="1"/>
  <c r="S1172" i="1"/>
  <c r="S1179" i="1"/>
  <c r="S1180" i="1"/>
  <c r="S1187" i="1"/>
  <c r="S1188" i="1"/>
  <c r="S1195" i="1"/>
  <c r="S1196" i="1"/>
  <c r="S836" i="1"/>
  <c r="S828" i="1"/>
  <c r="S860" i="1"/>
  <c r="S1079" i="1"/>
  <c r="S1071" i="1"/>
  <c r="S1063" i="1"/>
  <c r="S1055" i="1"/>
  <c r="S1047" i="1"/>
  <c r="S1039" i="1"/>
  <c r="S1031" i="1"/>
  <c r="S1023" i="1"/>
  <c r="S1015" i="1"/>
  <c r="S1007" i="1"/>
  <c r="S999" i="1"/>
  <c r="S991" i="1"/>
  <c r="S983" i="1"/>
  <c r="S975" i="1"/>
  <c r="S1201" i="1"/>
  <c r="S1193" i="1"/>
  <c r="S1185" i="1"/>
  <c r="S1177" i="1"/>
  <c r="S1169" i="1"/>
  <c r="S1161" i="1"/>
  <c r="S1153" i="1"/>
  <c r="S1145" i="1"/>
  <c r="S1137" i="1"/>
  <c r="S1129" i="1"/>
  <c r="S1121" i="1"/>
  <c r="S1113" i="1"/>
  <c r="S1105" i="1"/>
  <c r="S1097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M1092" i="1"/>
  <c r="M1091" i="1"/>
  <c r="M1090" i="1"/>
  <c r="M1089" i="1"/>
  <c r="M1088" i="1"/>
  <c r="M1087" i="1"/>
  <c r="M1086" i="1"/>
  <c r="M1085" i="1"/>
  <c r="M1084" i="1"/>
  <c r="M1083" i="1"/>
  <c r="M1082" i="1"/>
  <c r="M852" i="1"/>
  <c r="M851" i="1"/>
  <c r="M850" i="1"/>
  <c r="M849" i="1"/>
  <c r="M848" i="1"/>
  <c r="M847" i="1"/>
  <c r="M846" i="1"/>
  <c r="M845" i="1"/>
  <c r="M844" i="1"/>
  <c r="M843" i="1"/>
  <c r="M842" i="1"/>
  <c r="M612" i="1"/>
  <c r="M611" i="1"/>
  <c r="M610" i="1"/>
  <c r="M609" i="1"/>
  <c r="M608" i="1"/>
  <c r="M607" i="1"/>
  <c r="M606" i="1"/>
  <c r="M605" i="1"/>
  <c r="M604" i="1"/>
  <c r="M603" i="1"/>
  <c r="M602" i="1"/>
  <c r="M252" i="1"/>
  <c r="M251" i="1"/>
  <c r="M250" i="1"/>
  <c r="M249" i="1"/>
  <c r="M248" i="1"/>
  <c r="M247" i="1"/>
  <c r="M246" i="1"/>
  <c r="M245" i="1"/>
  <c r="M244" i="1"/>
  <c r="M243" i="1"/>
  <c r="M242" i="1"/>
  <c r="M132" i="1"/>
  <c r="M131" i="1"/>
  <c r="M130" i="1"/>
  <c r="M129" i="1"/>
  <c r="M128" i="1"/>
  <c r="M127" i="1"/>
  <c r="M126" i="1"/>
  <c r="M125" i="1"/>
  <c r="M124" i="1"/>
  <c r="M123" i="1"/>
  <c r="M122" i="1"/>
  <c r="M12" i="1"/>
  <c r="M11" i="1"/>
  <c r="M10" i="1"/>
  <c r="M9" i="1"/>
  <c r="M8" i="1"/>
  <c r="M7" i="1"/>
  <c r="M6" i="1"/>
  <c r="M5" i="1"/>
  <c r="M4" i="1"/>
  <c r="M3" i="1"/>
  <c r="M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6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K3" i="1"/>
  <c r="K123" i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3" i="1"/>
  <c r="K244" i="1" s="1"/>
  <c r="K363" i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3" i="1"/>
  <c r="K603" i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3" i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3" i="1"/>
  <c r="K844" i="1" s="1"/>
  <c r="K845" i="1" s="1"/>
  <c r="K963" i="1"/>
  <c r="K1083" i="1"/>
  <c r="K4" i="1"/>
  <c r="K5" i="1" s="1"/>
  <c r="K484" i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964" i="1"/>
  <c r="K965" i="1" s="1"/>
  <c r="K1084" i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245" i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6" i="1"/>
  <c r="K7" i="1" s="1"/>
  <c r="K8" i="1" s="1"/>
  <c r="K9" i="1" s="1"/>
  <c r="K10" i="1" s="1"/>
  <c r="K11" i="1" s="1"/>
  <c r="K846" i="1"/>
  <c r="K966" i="1"/>
  <c r="K967" i="1" s="1"/>
  <c r="K968" i="1" s="1"/>
  <c r="K969" i="1" s="1"/>
  <c r="K970" i="1" s="1"/>
  <c r="K971" i="1" s="1"/>
  <c r="K847" i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12" i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972" i="1"/>
  <c r="K973" i="1" s="1"/>
  <c r="K974" i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</calcChain>
</file>

<file path=xl/sharedStrings.xml><?xml version="1.0" encoding="utf-8"?>
<sst xmlns="http://schemas.openxmlformats.org/spreadsheetml/2006/main" count="6040" uniqueCount="56">
  <si>
    <t>Fecha</t>
  </si>
  <si>
    <t>Año</t>
  </si>
  <si>
    <t>Mes</t>
  </si>
  <si>
    <t>Empresa</t>
  </si>
  <si>
    <t>País</t>
  </si>
  <si>
    <t>Ticker</t>
  </si>
  <si>
    <t>Divisa Origen</t>
  </si>
  <si>
    <t>Rentab_Mensual</t>
  </si>
  <si>
    <t>Rentab_Acumulada</t>
  </si>
  <si>
    <t>Bank</t>
  </si>
  <si>
    <t>BBVA</t>
  </si>
  <si>
    <t>Spain</t>
  </si>
  <si>
    <t>USD</t>
  </si>
  <si>
    <t>BNP Paribas</t>
  </si>
  <si>
    <t>France</t>
  </si>
  <si>
    <t>BNPQF</t>
  </si>
  <si>
    <t>SAN</t>
  </si>
  <si>
    <t>Deutsche Bank</t>
  </si>
  <si>
    <t>Germany</t>
  </si>
  <si>
    <t>DB</t>
  </si>
  <si>
    <t>UK</t>
  </si>
  <si>
    <t>HSBC</t>
  </si>
  <si>
    <t>EUR</t>
  </si>
  <si>
    <t>USA</t>
  </si>
  <si>
    <t>GBP</t>
  </si>
  <si>
    <t>Precio_acc_EUR</t>
  </si>
  <si>
    <t>Fiserv Inc.</t>
  </si>
  <si>
    <t>Fidelity National Information Services Inc.</t>
  </si>
  <si>
    <t>Global Payments Inc.</t>
  </si>
  <si>
    <t>Intuit Inc.</t>
  </si>
  <si>
    <t>Visa Inc.</t>
  </si>
  <si>
    <t>GPN</t>
  </si>
  <si>
    <t>INTU</t>
  </si>
  <si>
    <t>V</t>
  </si>
  <si>
    <t>Volatilidad_Mensual</t>
  </si>
  <si>
    <t>FISV</t>
  </si>
  <si>
    <t>Risk Free Rate</t>
  </si>
  <si>
    <t xml:space="preserve">Drawdowns </t>
  </si>
  <si>
    <t>Beta</t>
  </si>
  <si>
    <t>Alpha</t>
  </si>
  <si>
    <t>Santander</t>
  </si>
  <si>
    <t>Sharpe ratio</t>
  </si>
  <si>
    <t>Exceso</t>
  </si>
  <si>
    <t xml:space="preserve"> </t>
  </si>
  <si>
    <t>Investing.com precios historicos</t>
  </si>
  <si>
    <t>(Mes actual - Mes anterior) / Mes anterior (El primer mes de cada uno está calculado con con el ultimo de 2024)</t>
  </si>
  <si>
    <t>Cada mes multiplica la acumulada anterior por el nuevo retorno mensual, que es exactamente la fórmula del interés compuesto encadenado.</t>
  </si>
  <si>
    <r>
      <t xml:space="preserve">El exceso de rentabilidad es </t>
    </r>
    <r>
      <rPr>
        <b/>
        <sz val="11"/>
        <color theme="1"/>
        <rFont val="Calibri"/>
        <family val="2"/>
        <scheme val="minor"/>
      </rPr>
      <t>lo que ha ganado la acción por encima de lo que ganarías sin asumir ningún riesgo</t>
    </r>
    <r>
      <rPr>
        <sz val="11"/>
        <color theme="1"/>
        <rFont val="Calibri"/>
        <family val="2"/>
        <scheme val="minor"/>
      </rPr>
      <t>.
La lógica es: si un activo sin riesgo (como un bono del gobierno) te da un 2% anual, y tu acción sube un 5%, el exceso real de haber asumido riesgo es solo un 3%.</t>
    </r>
  </si>
  <si>
    <r>
      <t xml:space="preserve">Tres partes:
</t>
    </r>
    <r>
      <rPr>
        <u/>
        <sz val="11"/>
        <color theme="1"/>
        <rFont val="Calibri"/>
        <family val="2"/>
        <scheme val="minor"/>
      </rPr>
      <t>PROMEDIO(J2:J13)</t>
    </r>
    <r>
      <rPr>
        <sz val="11"/>
        <color theme="1"/>
        <rFont val="Calibri"/>
        <family val="2"/>
        <scheme val="minor"/>
      </rPr>
      <t xml:space="preserve">
Calcula la rentabilidad media de los últimos 12 meses de esa empresa.
</t>
    </r>
    <r>
      <rPr>
        <u/>
        <sz val="11"/>
        <color theme="1"/>
        <rFont val="Calibri"/>
        <family val="2"/>
        <scheme val="minor"/>
      </rPr>
      <t>PROMEDIO(N2:N13)</t>
    </r>
    <r>
      <rPr>
        <sz val="11"/>
        <color theme="1"/>
        <rFont val="Calibri"/>
        <family val="2"/>
        <scheme val="minor"/>
      </rPr>
      <t xml:space="preserve">
Calcula la Risk Free Rate media de esos mismos 12 meses. Se la restamos a la rentabilidad para quedarnos solo con lo que has ganado por encima del activo sin riesgo.
</t>
    </r>
    <r>
      <rPr>
        <u/>
        <sz val="11"/>
        <color theme="1"/>
        <rFont val="Calibri"/>
        <family val="2"/>
        <scheme val="minor"/>
      </rPr>
      <t>DESVEST(J2:J13)</t>
    </r>
    <r>
      <rPr>
        <sz val="11"/>
        <color theme="1"/>
        <rFont val="Calibri"/>
        <family val="2"/>
        <scheme val="minor"/>
      </rPr>
      <t xml:space="preserve">
Calcula la volatilidad de esos 12 meses, que es el riesgo asumido.
Entonces la fórmula completa dice:
</t>
    </r>
    <r>
      <rPr>
        <b/>
        <sz val="11"/>
        <color theme="1"/>
        <rFont val="Calibri"/>
        <family val="2"/>
        <scheme val="minor"/>
      </rPr>
      <t>(rentabilidad media - tasa sin riesgo media) / volatilidad</t>
    </r>
  </si>
  <si>
    <t>Datos sacados de https://fred.stlouisfed.org/series/IRLTLT01DEM156N
Datos del bono alemán a 10 años de FRED, divididos entre 1200 para convertir los valores de porcentaje anualizado a tasa mensual decimal (÷100 para quitar el porcentaje y ÷12 para pasar de anual a mensual).</t>
  </si>
  <si>
    <t>El drawdown mide la caída porcentual del precio de la acción respecto a su máximo histórico hasta cada mes, y lo he calculado como el precio actual menos el precio máximo acumulado desde el inicio del periodo de cada empresa, dividido entre dicho máximo.</t>
  </si>
  <si>
    <t>EUROSTOXX_Ret</t>
  </si>
  <si>
    <t>Rentabilidad mensual del índice europeo EUROSTOXX 50, que uso como benchmark de mercado para calcular la Beta de cada empresa.</t>
  </si>
  <si>
    <t>La Beta mide la sensibilidad de una acción respecto al mercado y la calculo dividiendo cómo se mueven juntos la acción y el mercado entre cuánto se mueve el mercado solo, de forma que un valor mayor que 1 indica que la acción amplifica los movimientos del mercado y menor que 1 que los amortigua.</t>
  </si>
  <si>
    <t>El Alpha mide la rentabilidad extra que ha generado cada empresa por encima de lo esperado según su nivel de riesgo, y lo he calculado aplicando el modelo CAPM restando a la rentabilidad media de la empresa la rentabilidad teórica que le correspondería dado su Beta y la tasa libre de riesgo.</t>
  </si>
  <si>
    <t>Tech Financiero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</si>
</sst>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0.000%"/>
    <numFmt numFmtId="166" formatCode="_-* #,##0.0000000000\ _€_-;\-* #,##0.0000000000\ _€_-;_-* &quot;-&quot;??????????\ _€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3" fillId="0" borderId="1" xfId="1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66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9" fontId="3" fillId="0" borderId="1" xfId="1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  <xf numFmtId="10" fontId="3" fillId="0" borderId="1" xfId="1" applyNumberFormat="1" applyFont="1" applyBorder="1" applyAlignment="1">
      <alignment horizontal="center" vertical="top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1"/>
  <sheetViews>
    <sheetView tabSelected="1" zoomScale="67" workbookViewId="0">
      <selection activeCell="E17" sqref="E17"/>
    </sheetView>
  </sheetViews>
  <sheetFormatPr baseColWidth="10" defaultColWidth="8.88671875" defaultRowHeight="14.4" x14ac:dyDescent="0.3"/>
  <cols>
    <col min="1" max="1" width="18" customWidth="1"/>
    <col min="2" max="2" width="5.6640625" bestFit="1" customWidth="1"/>
    <col min="3" max="3" width="6.21875" bestFit="1" customWidth="1"/>
    <col min="4" max="4" width="8.44140625" customWidth="1"/>
    <col min="5" max="5" width="42" bestFit="1" customWidth="1"/>
    <col min="6" max="6" width="10.109375" customWidth="1"/>
    <col min="7" max="7" width="8.77734375" customWidth="1"/>
    <col min="8" max="8" width="17.109375" customWidth="1"/>
    <col min="9" max="9" width="20.44140625" customWidth="1"/>
    <col min="10" max="10" width="20.6640625" style="8" bestFit="1" customWidth="1"/>
    <col min="11" max="11" width="24" style="8" customWidth="1"/>
    <col min="12" max="12" width="16.5546875" customWidth="1"/>
    <col min="13" max="13" width="15.44140625" customWidth="1"/>
    <col min="14" max="14" width="18.21875" style="15" customWidth="1"/>
    <col min="15" max="15" width="15.109375" style="8" customWidth="1"/>
    <col min="16" max="16" width="15.33203125" style="15" bestFit="1" customWidth="1"/>
    <col min="17" max="17" width="8" customWidth="1"/>
    <col min="18" max="18" width="12.6640625" customWidth="1"/>
    <col min="19" max="19" width="18.33203125" style="15" bestFit="1" customWidth="1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9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25</v>
      </c>
      <c r="J1" s="9" t="s">
        <v>7</v>
      </c>
      <c r="K1" s="9" t="s">
        <v>8</v>
      </c>
      <c r="L1" s="4" t="s">
        <v>42</v>
      </c>
      <c r="M1" s="1" t="s">
        <v>41</v>
      </c>
      <c r="N1" s="14" t="s">
        <v>36</v>
      </c>
      <c r="O1" s="7" t="s">
        <v>37</v>
      </c>
      <c r="P1" s="16" t="s">
        <v>51</v>
      </c>
      <c r="Q1" s="3" t="s">
        <v>38</v>
      </c>
      <c r="R1" s="3" t="s">
        <v>39</v>
      </c>
      <c r="S1" s="14" t="s">
        <v>34</v>
      </c>
    </row>
    <row r="2" spans="1:19" x14ac:dyDescent="0.3">
      <c r="A2" s="2">
        <v>42005</v>
      </c>
      <c r="B2">
        <v>2015</v>
      </c>
      <c r="C2">
        <v>1</v>
      </c>
      <c r="D2" s="5" t="s">
        <v>9</v>
      </c>
      <c r="E2" t="s">
        <v>10</v>
      </c>
      <c r="F2" t="s">
        <v>11</v>
      </c>
      <c r="G2" t="s">
        <v>10</v>
      </c>
      <c r="H2" t="s">
        <v>22</v>
      </c>
      <c r="I2">
        <v>7.0019999999999998</v>
      </c>
      <c r="J2" s="8">
        <v>-3.2338308457711462E-2</v>
      </c>
      <c r="K2" s="8">
        <v>-3.2338308457711462E-2</v>
      </c>
      <c r="L2">
        <f t="shared" ref="L2:L65" si="0">J2-N2</f>
        <v>-3.2663308457711461E-2</v>
      </c>
      <c r="M2" t="str">
        <f>IF(COUNT(J2:J2)&lt;12,"",(AVERAGE(J2:J2)-N2)/STDEV(J2:J2))</f>
        <v/>
      </c>
      <c r="N2" s="15">
        <v>3.2499999999999999E-4</v>
      </c>
      <c r="O2" s="8">
        <f>(I2 - MAX(I2:I2)) / MAX(I2:I2)</f>
        <v>0</v>
      </c>
      <c r="P2" s="15">
        <v>6.5199999999999994E-2</v>
      </c>
    </row>
    <row r="3" spans="1:19" x14ac:dyDescent="0.3">
      <c r="A3" s="2">
        <v>42036</v>
      </c>
      <c r="B3">
        <v>2015</v>
      </c>
      <c r="C3">
        <v>2</v>
      </c>
      <c r="D3" s="5" t="s">
        <v>9</v>
      </c>
      <c r="E3" t="s">
        <v>10</v>
      </c>
      <c r="F3" t="s">
        <v>11</v>
      </c>
      <c r="G3" t="s">
        <v>10</v>
      </c>
      <c r="H3" t="s">
        <v>22</v>
      </c>
      <c r="I3">
        <v>8.2729999999999997</v>
      </c>
      <c r="J3" s="8">
        <f t="shared" ref="J3:J34" si="1">(I3-I2)/I2</f>
        <v>0.1815195658383319</v>
      </c>
      <c r="K3" s="8">
        <f t="shared" ref="K3:K34" si="2">(K2+1)*(J3+1)-1</f>
        <v>0.14331122166943056</v>
      </c>
      <c r="L3">
        <f t="shared" si="0"/>
        <v>0.1812675658383319</v>
      </c>
      <c r="M3" t="str">
        <f>IF(COUNT(J2:J3)&lt;12,"",(AVERAGE(J2:J3)-N3)/STDEV(J2:J3))</f>
        <v/>
      </c>
      <c r="N3" s="15">
        <v>2.52E-4</v>
      </c>
      <c r="O3" s="8">
        <f>(I3 - MAX(I2:I3)) / MAX(I2:I3)</f>
        <v>0</v>
      </c>
      <c r="P3" s="15">
        <v>7.3899999999999993E-2</v>
      </c>
    </row>
    <row r="4" spans="1:19" x14ac:dyDescent="0.3">
      <c r="A4" s="2">
        <v>42064</v>
      </c>
      <c r="B4">
        <v>2015</v>
      </c>
      <c r="C4">
        <v>3</v>
      </c>
      <c r="D4" s="5" t="s">
        <v>9</v>
      </c>
      <c r="E4" t="s">
        <v>10</v>
      </c>
      <c r="F4" t="s">
        <v>11</v>
      </c>
      <c r="G4" t="s">
        <v>10</v>
      </c>
      <c r="H4" t="s">
        <v>22</v>
      </c>
      <c r="I4">
        <v>8.7789999999999999</v>
      </c>
      <c r="J4" s="8">
        <f t="shared" si="1"/>
        <v>6.116281880817119E-2</v>
      </c>
      <c r="K4" s="8">
        <f t="shared" si="2"/>
        <v>0.21323935876174671</v>
      </c>
      <c r="L4">
        <f t="shared" si="0"/>
        <v>6.0973818808171189E-2</v>
      </c>
      <c r="M4" t="str">
        <f>IF(COUNT(J2:J4)&lt;12,"",(AVERAGE(J2:J4)-N4)/STDEV(J2:J4))</f>
        <v/>
      </c>
      <c r="N4" s="15">
        <v>1.8900000000000001E-4</v>
      </c>
      <c r="O4" s="8">
        <f>(I4 - MAX(I2:I4)) / MAX(I2:I4)</f>
        <v>0</v>
      </c>
      <c r="P4" s="15">
        <v>2.7300000000000001E-2</v>
      </c>
    </row>
    <row r="5" spans="1:19" x14ac:dyDescent="0.3">
      <c r="A5" s="2">
        <v>42095</v>
      </c>
      <c r="B5">
        <v>2015</v>
      </c>
      <c r="C5">
        <v>4</v>
      </c>
      <c r="D5" s="5" t="s">
        <v>9</v>
      </c>
      <c r="E5" t="s">
        <v>10</v>
      </c>
      <c r="F5" t="s">
        <v>11</v>
      </c>
      <c r="G5" t="s">
        <v>10</v>
      </c>
      <c r="H5" t="s">
        <v>22</v>
      </c>
      <c r="I5">
        <v>8.3979999999999997</v>
      </c>
      <c r="J5" s="8">
        <f t="shared" si="1"/>
        <v>-4.3399020389566036E-2</v>
      </c>
      <c r="K5" s="8">
        <f t="shared" si="2"/>
        <v>0.16058595909342177</v>
      </c>
      <c r="L5">
        <f t="shared" si="0"/>
        <v>-4.3501020389566034E-2</v>
      </c>
      <c r="M5" t="str">
        <f>IF(COUNT(J2:J5)&lt;12,"",(AVERAGE(J2:J5)-N5)/STDEV(J2:J5))</f>
        <v/>
      </c>
      <c r="N5" s="15">
        <v>1.02E-4</v>
      </c>
      <c r="O5" s="8">
        <f>(I5 - MAX(I2:I5)) / MAX(I2:I5)</f>
        <v>-4.3399020389566036E-2</v>
      </c>
      <c r="P5" s="15">
        <v>-2.2100000000000002E-2</v>
      </c>
      <c r="S5" s="15" t="s">
        <v>43</v>
      </c>
    </row>
    <row r="6" spans="1:19" x14ac:dyDescent="0.3">
      <c r="A6" s="2">
        <v>42125</v>
      </c>
      <c r="B6">
        <v>2015</v>
      </c>
      <c r="C6">
        <v>5</v>
      </c>
      <c r="D6" s="5" t="s">
        <v>9</v>
      </c>
      <c r="E6" t="s">
        <v>10</v>
      </c>
      <c r="F6" t="s">
        <v>11</v>
      </c>
      <c r="G6" t="s">
        <v>10</v>
      </c>
      <c r="H6" t="s">
        <v>22</v>
      </c>
      <c r="I6">
        <v>8.3919999999999995</v>
      </c>
      <c r="J6" s="8">
        <f t="shared" si="1"/>
        <v>-7.1445582281498305E-4</v>
      </c>
      <c r="K6" s="8">
        <f t="shared" si="2"/>
        <v>0.15975677169707025</v>
      </c>
      <c r="L6">
        <f t="shared" si="0"/>
        <v>-1.177455822814983E-3</v>
      </c>
      <c r="M6" t="str">
        <f>IF(COUNT(J2:J6)&lt;12,"",(AVERAGE(J2:J6)-N6)/STDEV(J2:J6))</f>
        <v/>
      </c>
      <c r="N6" s="15">
        <v>4.6299999999999998E-4</v>
      </c>
      <c r="O6" s="8">
        <f>(I6 - MAX(I2:I6)) / MAX(I2:I6)</f>
        <v>-4.4082469529559229E-2</v>
      </c>
      <c r="P6" s="15">
        <v>-1.24E-2</v>
      </c>
    </row>
    <row r="7" spans="1:19" x14ac:dyDescent="0.3">
      <c r="A7" s="2">
        <v>42156</v>
      </c>
      <c r="B7">
        <v>2015</v>
      </c>
      <c r="C7">
        <v>6</v>
      </c>
      <c r="D7" s="5" t="s">
        <v>9</v>
      </c>
      <c r="E7" t="s">
        <v>10</v>
      </c>
      <c r="F7" t="s">
        <v>11</v>
      </c>
      <c r="G7" t="s">
        <v>10</v>
      </c>
      <c r="H7" t="s">
        <v>22</v>
      </c>
      <c r="I7">
        <v>8.2040000000000006</v>
      </c>
      <c r="J7" s="8">
        <f t="shared" si="1"/>
        <v>-2.2402287893231513E-2</v>
      </c>
      <c r="K7" s="8">
        <f t="shared" si="2"/>
        <v>0.13377556661138779</v>
      </c>
      <c r="L7">
        <f t="shared" si="0"/>
        <v>-2.3063287893231511E-2</v>
      </c>
      <c r="M7" t="str">
        <f>IF(COUNT(J2:J7)&lt;12,"",(AVERAGE(J2:J7)-N7)/STDEV(J2:J7))</f>
        <v/>
      </c>
      <c r="N7" s="15">
        <v>6.6100000000000002E-4</v>
      </c>
      <c r="O7" s="8">
        <f>(I7 - MAX(I2:I7)) / MAX(I2:I7)</f>
        <v>-6.5497209249344948E-2</v>
      </c>
      <c r="P7" s="15">
        <v>-4.0999999999999988E-2</v>
      </c>
    </row>
    <row r="8" spans="1:19" x14ac:dyDescent="0.3">
      <c r="A8" s="2">
        <v>42186</v>
      </c>
      <c r="B8">
        <v>2015</v>
      </c>
      <c r="C8">
        <v>7</v>
      </c>
      <c r="D8" s="5" t="s">
        <v>9</v>
      </c>
      <c r="E8" t="s">
        <v>10</v>
      </c>
      <c r="F8" t="s">
        <v>11</v>
      </c>
      <c r="G8" t="s">
        <v>10</v>
      </c>
      <c r="H8" t="s">
        <v>22</v>
      </c>
      <c r="I8">
        <v>8.5980000000000008</v>
      </c>
      <c r="J8" s="8">
        <f t="shared" si="1"/>
        <v>4.8025353486104351E-2</v>
      </c>
      <c r="K8" s="8">
        <f t="shared" si="2"/>
        <v>0.18822553897180794</v>
      </c>
      <c r="L8">
        <f t="shared" si="0"/>
        <v>4.7433353486104349E-2</v>
      </c>
      <c r="M8" t="str">
        <f>IF(COUNT(J2:J8)&lt;12,"",(AVERAGE(J2:J8)-N8)/STDEV(J2:J8))</f>
        <v/>
      </c>
      <c r="N8" s="15">
        <v>5.9199999999999997E-4</v>
      </c>
      <c r="O8" s="8">
        <f>(I8 - MAX(I2:I8)) / MAX(I2:I8)</f>
        <v>-2.0617382389793732E-2</v>
      </c>
      <c r="P8" s="15">
        <v>5.1499999999999997E-2</v>
      </c>
    </row>
    <row r="9" spans="1:19" x14ac:dyDescent="0.3">
      <c r="A9" s="2">
        <v>42217</v>
      </c>
      <c r="B9">
        <v>2015</v>
      </c>
      <c r="C9">
        <v>8</v>
      </c>
      <c r="D9" s="5" t="s">
        <v>9</v>
      </c>
      <c r="E9" t="s">
        <v>10</v>
      </c>
      <c r="F9" t="s">
        <v>11</v>
      </c>
      <c r="G9" t="s">
        <v>10</v>
      </c>
      <c r="H9" t="s">
        <v>22</v>
      </c>
      <c r="I9">
        <v>7.7110000000000003</v>
      </c>
      <c r="J9" s="8">
        <f t="shared" si="1"/>
        <v>-0.10316352640148876</v>
      </c>
      <c r="K9" s="8">
        <f t="shared" si="2"/>
        <v>6.5644002211166619E-2</v>
      </c>
      <c r="L9">
        <f t="shared" si="0"/>
        <v>-0.10367052640148876</v>
      </c>
      <c r="M9" t="str">
        <f>IF(COUNT(J2:J9)&lt;12,"",(AVERAGE(J2:J9)-N9)/STDEV(J2:J9))</f>
        <v/>
      </c>
      <c r="N9" s="15">
        <v>5.0699999999999996E-4</v>
      </c>
      <c r="O9" s="8">
        <f>(I9 - MAX(I2:I9)) / MAX(I2:I9)</f>
        <v>-0.12165394691878342</v>
      </c>
      <c r="P9" s="15">
        <v>-9.1899999999999996E-2</v>
      </c>
    </row>
    <row r="10" spans="1:19" x14ac:dyDescent="0.3">
      <c r="A10" s="2">
        <v>42248</v>
      </c>
      <c r="B10">
        <v>2015</v>
      </c>
      <c r="C10">
        <v>9</v>
      </c>
      <c r="D10" s="5" t="s">
        <v>9</v>
      </c>
      <c r="E10" t="s">
        <v>10</v>
      </c>
      <c r="F10" t="s">
        <v>11</v>
      </c>
      <c r="G10" t="s">
        <v>10</v>
      </c>
      <c r="H10" t="s">
        <v>22</v>
      </c>
      <c r="I10">
        <v>7.0730000000000004</v>
      </c>
      <c r="J10" s="8">
        <f t="shared" si="1"/>
        <v>-8.2738944365192565E-2</v>
      </c>
      <c r="K10" s="8">
        <f t="shared" si="2"/>
        <v>-2.2526257600884225E-2</v>
      </c>
      <c r="L10">
        <f t="shared" si="0"/>
        <v>-8.3283944365192569E-2</v>
      </c>
      <c r="M10" t="str">
        <f>IF(COUNT(J2:J10)&lt;12,"",(AVERAGE(J2:J10)-N10)/STDEV(J2:J10))</f>
        <v/>
      </c>
      <c r="N10" s="15">
        <v>5.4500000000000002E-4</v>
      </c>
      <c r="O10" s="8">
        <f>(I10 - MAX(I2:I10)) / MAX(I2:I10)</f>
        <v>-0.19432737213805668</v>
      </c>
      <c r="P10" s="15">
        <v>-5.1700000000000003E-2</v>
      </c>
    </row>
    <row r="11" spans="1:19" x14ac:dyDescent="0.3">
      <c r="A11" s="2">
        <v>42278</v>
      </c>
      <c r="B11">
        <v>2015</v>
      </c>
      <c r="C11">
        <v>10</v>
      </c>
      <c r="D11" s="5" t="s">
        <v>9</v>
      </c>
      <c r="E11" t="s">
        <v>10</v>
      </c>
      <c r="F11" t="s">
        <v>11</v>
      </c>
      <c r="G11" t="s">
        <v>10</v>
      </c>
      <c r="H11" t="s">
        <v>22</v>
      </c>
      <c r="I11">
        <v>7.3869999999999996</v>
      </c>
      <c r="J11" s="8">
        <f t="shared" si="1"/>
        <v>4.4394175031810992E-2</v>
      </c>
      <c r="K11" s="8">
        <f t="shared" si="2"/>
        <v>2.0867882808181637E-2</v>
      </c>
      <c r="L11">
        <f t="shared" si="0"/>
        <v>4.3962175031810991E-2</v>
      </c>
      <c r="M11" t="str">
        <f>IF(COUNT(J2:J11)&lt;12,"",(AVERAGE(J2:J11)-N11)/STDEV(J2:J11))</f>
        <v/>
      </c>
      <c r="N11" s="15">
        <v>4.3199999999999998E-4</v>
      </c>
      <c r="O11" s="8">
        <f>(I11 - MAX(I2:I11)) / MAX(I2:I11)</f>
        <v>-0.15856020047841443</v>
      </c>
      <c r="P11" s="15">
        <v>0.1024</v>
      </c>
    </row>
    <row r="12" spans="1:19" x14ac:dyDescent="0.3">
      <c r="A12" s="2">
        <v>42309</v>
      </c>
      <c r="B12">
        <v>2015</v>
      </c>
      <c r="C12">
        <v>11</v>
      </c>
      <c r="D12" s="5" t="s">
        <v>9</v>
      </c>
      <c r="E12" t="s">
        <v>10</v>
      </c>
      <c r="F12" t="s">
        <v>11</v>
      </c>
      <c r="G12" t="s">
        <v>10</v>
      </c>
      <c r="H12" t="s">
        <v>22</v>
      </c>
      <c r="I12">
        <v>7.4020000000000001</v>
      </c>
      <c r="J12" s="8">
        <f t="shared" si="1"/>
        <v>2.0305942872614821E-3</v>
      </c>
      <c r="K12" s="8">
        <f t="shared" si="2"/>
        <v>2.2940851299060538E-2</v>
      </c>
      <c r="L12">
        <f t="shared" si="0"/>
        <v>1.6005942872614821E-3</v>
      </c>
      <c r="M12" t="str">
        <f>IF(COUNT(J2:J12)&lt;12,"",(AVERAGE(J2:J12)-N12)/STDEV(J2:J12))</f>
        <v/>
      </c>
      <c r="N12" s="15">
        <v>4.2999999999999999E-4</v>
      </c>
      <c r="O12" s="8">
        <f>(I12 - MAX(I2:I12)) / MAX(I2:I12)</f>
        <v>-0.15685157762843147</v>
      </c>
      <c r="P12" s="15">
        <v>2.58E-2</v>
      </c>
    </row>
    <row r="13" spans="1:19" x14ac:dyDescent="0.3">
      <c r="A13" s="2">
        <v>42339</v>
      </c>
      <c r="B13">
        <v>2015</v>
      </c>
      <c r="C13">
        <v>12</v>
      </c>
      <c r="D13" s="5" t="s">
        <v>9</v>
      </c>
      <c r="E13" t="s">
        <v>10</v>
      </c>
      <c r="F13" t="s">
        <v>11</v>
      </c>
      <c r="G13" t="s">
        <v>10</v>
      </c>
      <c r="H13" t="s">
        <v>22</v>
      </c>
      <c r="I13">
        <v>6.35</v>
      </c>
      <c r="J13" s="8">
        <f t="shared" si="1"/>
        <v>-0.14212375033774663</v>
      </c>
      <c r="K13" s="8">
        <f t="shared" si="2"/>
        <v>-0.12244333886124914</v>
      </c>
      <c r="L13">
        <f t="shared" si="0"/>
        <v>-0.14257875033774664</v>
      </c>
      <c r="M13">
        <f t="shared" ref="M13:M44" si="3">(AVERAGE(J2:J13)-AVERAGE(N2:N13))/STDEV(J2:J13)</f>
        <v>-9.1728456521108087E-2</v>
      </c>
      <c r="N13" s="15">
        <v>4.55E-4</v>
      </c>
      <c r="O13" s="8">
        <f>(I13 - MAX(I2:I13)) / MAX(I2:I13)</f>
        <v>-0.27668299350723319</v>
      </c>
      <c r="P13" s="15">
        <v>-6.2300000000000001E-2</v>
      </c>
      <c r="Q13">
        <f t="shared" ref="Q13:Q44" si="4" xml:space="preserve"> _xlfn.COVARIANCE.P(J2:J13, P2:P13) / _xlfn.VAR.P(P2:P13)</f>
        <v>1.0920312064515629</v>
      </c>
      <c r="R13">
        <f t="shared" ref="R13:R44" si="5">AVERAGE(J2:J13)-(AVERAGE(N2:N13)+Q13*(AVERAGE(P2:P13)-AVERAGE(N2:N13)))</f>
        <v>-1.3328864558994463E-2</v>
      </c>
      <c r="S13" s="15">
        <f t="shared" ref="S13:S44" si="6">STDEV(J2:J13)</f>
        <v>8.6033631045090819E-2</v>
      </c>
    </row>
    <row r="14" spans="1:19" x14ac:dyDescent="0.3">
      <c r="A14" s="2">
        <v>42370</v>
      </c>
      <c r="B14">
        <v>2016</v>
      </c>
      <c r="C14">
        <v>1</v>
      </c>
      <c r="D14" s="5" t="s">
        <v>9</v>
      </c>
      <c r="E14" t="s">
        <v>10</v>
      </c>
      <c r="F14" t="s">
        <v>11</v>
      </c>
      <c r="G14" t="s">
        <v>10</v>
      </c>
      <c r="H14" t="s">
        <v>22</v>
      </c>
      <c r="I14">
        <v>5.5549999999999997</v>
      </c>
      <c r="J14" s="8">
        <f t="shared" si="1"/>
        <v>-0.12519685039370079</v>
      </c>
      <c r="K14" s="8">
        <f t="shared" si="2"/>
        <v>-0.23231066887783292</v>
      </c>
      <c r="L14">
        <f t="shared" si="0"/>
        <v>-0.12555585039370079</v>
      </c>
      <c r="M14">
        <f t="shared" si="3"/>
        <v>-0.16916317768498584</v>
      </c>
      <c r="N14" s="15">
        <v>3.59E-4</v>
      </c>
      <c r="O14" s="8">
        <f>(I14 - MAX(I2:I14)) / MAX(I2:I14)</f>
        <v>-0.3672400045563276</v>
      </c>
      <c r="P14" s="15">
        <v>-7.3899999999999993E-2</v>
      </c>
      <c r="Q14">
        <f t="shared" si="4"/>
        <v>1.2938995165791156</v>
      </c>
      <c r="R14">
        <f t="shared" si="5"/>
        <v>-7.0728772691162605E-3</v>
      </c>
      <c r="S14" s="15">
        <f t="shared" si="6"/>
        <v>9.2412412440704611E-2</v>
      </c>
    </row>
    <row r="15" spans="1:19" x14ac:dyDescent="0.3">
      <c r="A15" s="2">
        <v>42401</v>
      </c>
      <c r="B15">
        <v>2016</v>
      </c>
      <c r="C15">
        <v>2</v>
      </c>
      <c r="D15" s="5" t="s">
        <v>9</v>
      </c>
      <c r="E15" t="s">
        <v>10</v>
      </c>
      <c r="F15" t="s">
        <v>11</v>
      </c>
      <c r="G15" t="s">
        <v>10</v>
      </c>
      <c r="H15" t="s">
        <v>22</v>
      </c>
      <c r="I15">
        <v>5.5170000000000003</v>
      </c>
      <c r="J15" s="8">
        <f t="shared" si="1"/>
        <v>-6.840684068406727E-3</v>
      </c>
      <c r="K15" s="8">
        <f t="shared" si="2"/>
        <v>-0.23756218905472615</v>
      </c>
      <c r="L15">
        <f t="shared" si="0"/>
        <v>-6.984684068406727E-3</v>
      </c>
      <c r="M15">
        <f t="shared" si="3"/>
        <v>-0.45401612742099851</v>
      </c>
      <c r="N15" s="15">
        <v>1.44E-4</v>
      </c>
      <c r="O15" s="8">
        <f>(I15 - MAX(I2:I15)) / MAX(I2:I15)</f>
        <v>-0.37156851577628425</v>
      </c>
      <c r="P15" s="15">
        <v>-3.2599999999999997E-2</v>
      </c>
      <c r="Q15">
        <f t="shared" si="4"/>
        <v>1.0407764165003315</v>
      </c>
      <c r="R15">
        <f t="shared" si="5"/>
        <v>-1.5207598014815412E-2</v>
      </c>
      <c r="S15" s="15">
        <f t="shared" si="6"/>
        <v>6.8985357450068299E-2</v>
      </c>
    </row>
    <row r="16" spans="1:19" x14ac:dyDescent="0.3">
      <c r="A16" s="2">
        <v>42430</v>
      </c>
      <c r="B16">
        <v>2016</v>
      </c>
      <c r="C16">
        <v>3</v>
      </c>
      <c r="D16" s="5" t="s">
        <v>9</v>
      </c>
      <c r="E16" t="s">
        <v>10</v>
      </c>
      <c r="F16" t="s">
        <v>11</v>
      </c>
      <c r="G16" t="s">
        <v>10</v>
      </c>
      <c r="H16" t="s">
        <v>22</v>
      </c>
      <c r="I16">
        <v>5.5049999999999999</v>
      </c>
      <c r="J16" s="8">
        <f t="shared" si="1"/>
        <v>-2.1750951604133503E-3</v>
      </c>
      <c r="K16" s="8">
        <f t="shared" si="2"/>
        <v>-0.2392205638474294</v>
      </c>
      <c r="L16">
        <f t="shared" si="0"/>
        <v>-2.3180951604133502E-3</v>
      </c>
      <c r="M16">
        <f t="shared" si="3"/>
        <v>-0.57624709730080548</v>
      </c>
      <c r="N16" s="15">
        <v>1.4300000000000001E-4</v>
      </c>
      <c r="O16" s="8">
        <f>(I16 - MAX(I2:I16)) / MAX(I2:I16)</f>
        <v>-0.37293541405627068</v>
      </c>
      <c r="P16" s="15">
        <v>2.01E-2</v>
      </c>
      <c r="Q16">
        <f t="shared" si="4"/>
        <v>0.97402902676955661</v>
      </c>
      <c r="R16">
        <f t="shared" si="5"/>
        <v>-2.0934595817137802E-2</v>
      </c>
      <c r="S16" s="15">
        <f t="shared" si="6"/>
        <v>6.3505380198347922E-2</v>
      </c>
    </row>
    <row r="17" spans="1:19" x14ac:dyDescent="0.3">
      <c r="A17" s="2">
        <v>42461</v>
      </c>
      <c r="B17">
        <v>2016</v>
      </c>
      <c r="C17">
        <v>4</v>
      </c>
      <c r="D17" s="5" t="s">
        <v>9</v>
      </c>
      <c r="E17" t="s">
        <v>10</v>
      </c>
      <c r="F17" t="s">
        <v>11</v>
      </c>
      <c r="G17" t="s">
        <v>10</v>
      </c>
      <c r="H17" t="s">
        <v>22</v>
      </c>
      <c r="I17">
        <v>5.7380000000000004</v>
      </c>
      <c r="J17" s="8">
        <f t="shared" si="1"/>
        <v>4.232515894641245E-2</v>
      </c>
      <c r="K17" s="8">
        <f t="shared" si="2"/>
        <v>-0.20702045328910978</v>
      </c>
      <c r="L17">
        <f t="shared" si="0"/>
        <v>4.2213158946412449E-2</v>
      </c>
      <c r="M17">
        <f t="shared" si="3"/>
        <v>-0.43744309459377217</v>
      </c>
      <c r="N17" s="15">
        <v>1.12E-4</v>
      </c>
      <c r="O17" s="8">
        <f>(I17 - MAX(I2:I17)) / MAX(I2:I17)</f>
        <v>-0.34639480578653598</v>
      </c>
      <c r="P17" s="15">
        <v>7.7000000000000002E-3</v>
      </c>
      <c r="Q17">
        <f t="shared" si="4"/>
        <v>1.0065651196041971</v>
      </c>
      <c r="R17">
        <f t="shared" si="5"/>
        <v>-1.5767438281984875E-2</v>
      </c>
      <c r="S17" s="15">
        <f t="shared" si="6"/>
        <v>6.7327483479043437E-2</v>
      </c>
    </row>
    <row r="18" spans="1:19" x14ac:dyDescent="0.3">
      <c r="A18" s="2">
        <v>42491</v>
      </c>
      <c r="B18">
        <v>2016</v>
      </c>
      <c r="C18">
        <v>5</v>
      </c>
      <c r="D18" s="5" t="s">
        <v>9</v>
      </c>
      <c r="E18" t="s">
        <v>10</v>
      </c>
      <c r="F18" t="s">
        <v>11</v>
      </c>
      <c r="G18" t="s">
        <v>10</v>
      </c>
      <c r="H18" t="s">
        <v>22</v>
      </c>
      <c r="I18">
        <v>5.7169999999999996</v>
      </c>
      <c r="J18" s="8">
        <f t="shared" si="1"/>
        <v>-3.6598117811085388E-3</v>
      </c>
      <c r="K18" s="8">
        <f t="shared" si="2"/>
        <v>-0.20992260917634042</v>
      </c>
      <c r="L18">
        <f t="shared" si="0"/>
        <v>-3.7708117811085387E-3</v>
      </c>
      <c r="M18">
        <f t="shared" si="3"/>
        <v>-0.44135702065369159</v>
      </c>
      <c r="N18" s="15">
        <v>1.11E-4</v>
      </c>
      <c r="O18" s="8">
        <f>(I18 - MAX(I2:I18)) / MAX(I2:I18)</f>
        <v>-0.34878687777651218</v>
      </c>
      <c r="P18" s="15">
        <v>1.1599999999999999E-2</v>
      </c>
      <c r="Q18">
        <f t="shared" si="4"/>
        <v>1.0077608092341717</v>
      </c>
      <c r="R18">
        <f t="shared" si="5"/>
        <v>-1.8012378181273308E-2</v>
      </c>
      <c r="S18" s="15">
        <f t="shared" si="6"/>
        <v>6.7220083362143176E-2</v>
      </c>
    </row>
    <row r="19" spans="1:19" x14ac:dyDescent="0.3">
      <c r="A19" s="2">
        <v>42522</v>
      </c>
      <c r="B19">
        <v>2016</v>
      </c>
      <c r="C19">
        <v>6</v>
      </c>
      <c r="D19" s="5" t="s">
        <v>9</v>
      </c>
      <c r="E19" t="s">
        <v>10</v>
      </c>
      <c r="F19" t="s">
        <v>11</v>
      </c>
      <c r="G19" t="s">
        <v>10</v>
      </c>
      <c r="H19" t="s">
        <v>22</v>
      </c>
      <c r="I19">
        <v>4.8570000000000002</v>
      </c>
      <c r="J19" s="8">
        <f t="shared" si="1"/>
        <v>-0.15042854644044071</v>
      </c>
      <c r="K19" s="8">
        <f t="shared" si="2"/>
        <v>-0.32877280265339948</v>
      </c>
      <c r="L19">
        <f t="shared" si="0"/>
        <v>-0.15041454644044072</v>
      </c>
      <c r="M19">
        <f t="shared" si="3"/>
        <v>-0.53240995828413273</v>
      </c>
      <c r="N19" s="15">
        <v>-1.4E-5</v>
      </c>
      <c r="O19" s="8">
        <f>(I19 - MAX(I2:I19)) / MAX(I2:I19)</f>
        <v>-0.44674792117553247</v>
      </c>
      <c r="P19" s="15">
        <v>-6.4899999999999999E-2</v>
      </c>
      <c r="Q19">
        <f t="shared" si="4"/>
        <v>1.1258322170145501</v>
      </c>
      <c r="R19">
        <f t="shared" si="5"/>
        <v>-2.5080424560423288E-2</v>
      </c>
      <c r="S19" s="15">
        <f t="shared" si="6"/>
        <v>7.5657226114928713E-2</v>
      </c>
    </row>
    <row r="20" spans="1:19" x14ac:dyDescent="0.3">
      <c r="A20" s="2">
        <v>42552</v>
      </c>
      <c r="B20">
        <v>2016</v>
      </c>
      <c r="C20">
        <v>7</v>
      </c>
      <c r="D20" s="5" t="s">
        <v>9</v>
      </c>
      <c r="E20" t="s">
        <v>10</v>
      </c>
      <c r="F20" t="s">
        <v>11</v>
      </c>
      <c r="G20" t="s">
        <v>10</v>
      </c>
      <c r="H20" t="s">
        <v>22</v>
      </c>
      <c r="I20">
        <v>5.0110000000000001</v>
      </c>
      <c r="J20" s="8">
        <f t="shared" si="1"/>
        <v>3.1706814906320754E-2</v>
      </c>
      <c r="K20" s="8">
        <f t="shared" si="2"/>
        <v>-0.30749032614704241</v>
      </c>
      <c r="L20">
        <f t="shared" si="0"/>
        <v>3.1835814906320752E-2</v>
      </c>
      <c r="M20">
        <f t="shared" si="3"/>
        <v>-0.56142939202628184</v>
      </c>
      <c r="N20" s="15">
        <v>-1.2899999999999999E-4</v>
      </c>
      <c r="O20" s="8">
        <f>(I20 - MAX(I2:I20)) / MAX(I2:I20)</f>
        <v>-0.42920605991570793</v>
      </c>
      <c r="P20" s="15">
        <v>4.3999999999999997E-2</v>
      </c>
      <c r="Q20">
        <f t="shared" si="4"/>
        <v>1.1105097328494715</v>
      </c>
      <c r="R20">
        <f t="shared" si="5"/>
        <v>-2.5959747951697143E-2</v>
      </c>
      <c r="S20" s="15">
        <f t="shared" si="6"/>
        <v>7.406177174180531E-2</v>
      </c>
    </row>
    <row r="21" spans="1:19" x14ac:dyDescent="0.3">
      <c r="A21" s="2">
        <v>42583</v>
      </c>
      <c r="B21">
        <v>2016</v>
      </c>
      <c r="C21">
        <v>8</v>
      </c>
      <c r="D21" s="5" t="s">
        <v>9</v>
      </c>
      <c r="E21" t="s">
        <v>10</v>
      </c>
      <c r="F21" t="s">
        <v>11</v>
      </c>
      <c r="G21" t="s">
        <v>10</v>
      </c>
      <c r="H21" t="s">
        <v>22</v>
      </c>
      <c r="I21">
        <v>5.35</v>
      </c>
      <c r="J21" s="8">
        <f t="shared" si="1"/>
        <v>6.7651167431650269E-2</v>
      </c>
      <c r="K21" s="8">
        <f t="shared" si="2"/>
        <v>-0.26064123825317853</v>
      </c>
      <c r="L21">
        <f t="shared" si="0"/>
        <v>6.7761167431650268E-2</v>
      </c>
      <c r="M21">
        <f t="shared" si="3"/>
        <v>-0.35248749440159105</v>
      </c>
      <c r="N21" s="15">
        <v>-1.1E-4</v>
      </c>
      <c r="O21" s="8">
        <f>(I21 - MAX(I2:I21)) / MAX(I2:I21)</f>
        <v>-0.39059118350609412</v>
      </c>
      <c r="P21" s="15">
        <v>1.0800000000000001E-2</v>
      </c>
      <c r="Q21">
        <f t="shared" si="4"/>
        <v>1.2231940801688388</v>
      </c>
      <c r="R21">
        <f t="shared" si="5"/>
        <v>-2.0620122496854836E-2</v>
      </c>
      <c r="S21" s="15">
        <f t="shared" si="6"/>
        <v>7.7433898872450044E-2</v>
      </c>
    </row>
    <row r="22" spans="1:19" x14ac:dyDescent="0.3">
      <c r="A22" s="2">
        <v>42614</v>
      </c>
      <c r="B22">
        <v>2016</v>
      </c>
      <c r="C22">
        <v>9</v>
      </c>
      <c r="D22" s="5" t="s">
        <v>9</v>
      </c>
      <c r="E22" t="s">
        <v>10</v>
      </c>
      <c r="F22" t="s">
        <v>11</v>
      </c>
      <c r="G22" t="s">
        <v>10</v>
      </c>
      <c r="H22" t="s">
        <v>22</v>
      </c>
      <c r="I22">
        <v>5.1619999999999999</v>
      </c>
      <c r="J22" s="8">
        <f t="shared" si="1"/>
        <v>-3.51401869158878E-2</v>
      </c>
      <c r="K22" s="8">
        <f t="shared" si="2"/>
        <v>-0.28662244333886122</v>
      </c>
      <c r="L22">
        <f t="shared" si="0"/>
        <v>-3.5070186915887799E-2</v>
      </c>
      <c r="M22">
        <f t="shared" si="3"/>
        <v>-0.30822073627163993</v>
      </c>
      <c r="N22" s="15">
        <v>-6.9999999999999994E-5</v>
      </c>
      <c r="O22" s="8">
        <f>(I22 - MAX(I2:I22)) / MAX(I2:I22)</f>
        <v>-0.41200592322587992</v>
      </c>
      <c r="P22" s="15">
        <v>-6.8999999999999999E-3</v>
      </c>
      <c r="Q22">
        <f t="shared" si="4"/>
        <v>1.2263944755666878</v>
      </c>
      <c r="R22">
        <f t="shared" si="5"/>
        <v>-2.1226238510912841E-2</v>
      </c>
      <c r="S22" s="15">
        <f t="shared" si="6"/>
        <v>7.5519473985055333E-2</v>
      </c>
    </row>
    <row r="23" spans="1:19" x14ac:dyDescent="0.3">
      <c r="A23" s="2">
        <v>42644</v>
      </c>
      <c r="B23">
        <v>2016</v>
      </c>
      <c r="C23">
        <v>10</v>
      </c>
      <c r="D23" s="5" t="s">
        <v>9</v>
      </c>
      <c r="E23" t="s">
        <v>10</v>
      </c>
      <c r="F23" t="s">
        <v>11</v>
      </c>
      <c r="G23" t="s">
        <v>10</v>
      </c>
      <c r="H23" t="s">
        <v>22</v>
      </c>
      <c r="I23">
        <v>6.3929999999999998</v>
      </c>
      <c r="J23" s="8">
        <f t="shared" si="1"/>
        <v>0.23847345989926383</v>
      </c>
      <c r="K23" s="8">
        <f t="shared" si="2"/>
        <v>-0.11650082918739624</v>
      </c>
      <c r="L23">
        <f t="shared" si="0"/>
        <v>0.23847145989926383</v>
      </c>
      <c r="M23">
        <f t="shared" si="3"/>
        <v>-6.6709187416257407E-2</v>
      </c>
      <c r="N23" s="15">
        <v>1.9999999999999999E-6</v>
      </c>
      <c r="O23" s="8">
        <f>(I23 - MAX(I2:I23)) / MAX(I2:I23)</f>
        <v>-0.27178494133728215</v>
      </c>
      <c r="P23" s="15">
        <v>1.77E-2</v>
      </c>
      <c r="Q23">
        <f t="shared" si="4"/>
        <v>1.9675295645153359</v>
      </c>
      <c r="R23">
        <f t="shared" si="5"/>
        <v>1.003896103564857E-2</v>
      </c>
      <c r="S23" s="15">
        <f t="shared" si="6"/>
        <v>0.10594583858640391</v>
      </c>
    </row>
    <row r="24" spans="1:19" x14ac:dyDescent="0.3">
      <c r="A24" s="2">
        <v>42675</v>
      </c>
      <c r="B24">
        <v>2016</v>
      </c>
      <c r="C24">
        <v>11</v>
      </c>
      <c r="D24" s="5" t="s">
        <v>9</v>
      </c>
      <c r="E24" t="s">
        <v>10</v>
      </c>
      <c r="F24" t="s">
        <v>11</v>
      </c>
      <c r="G24" t="s">
        <v>10</v>
      </c>
      <c r="H24" t="s">
        <v>22</v>
      </c>
      <c r="I24">
        <v>5.6619999999999999</v>
      </c>
      <c r="J24" s="8">
        <f t="shared" si="1"/>
        <v>-0.11434381354606599</v>
      </c>
      <c r="K24" s="8">
        <f t="shared" si="2"/>
        <v>-0.21752349364289647</v>
      </c>
      <c r="L24">
        <f t="shared" si="0"/>
        <v>-0.11450181354606599</v>
      </c>
      <c r="M24">
        <f t="shared" si="3"/>
        <v>-0.15181145227380577</v>
      </c>
      <c r="N24" s="15">
        <v>1.5799999999999999E-4</v>
      </c>
      <c r="O24" s="8">
        <f>(I24 - MAX(I2:I24)) / MAX(I2:I24)</f>
        <v>-0.35505182822644948</v>
      </c>
      <c r="P24" s="15">
        <v>-1.1999999999999999E-3</v>
      </c>
      <c r="Q24">
        <f t="shared" si="4"/>
        <v>2.0276194908592009</v>
      </c>
      <c r="R24">
        <f t="shared" si="5"/>
        <v>5.4023917192812104E-3</v>
      </c>
      <c r="S24" s="15">
        <f t="shared" si="6"/>
        <v>0.11028655087768457</v>
      </c>
    </row>
    <row r="25" spans="1:19" x14ac:dyDescent="0.3">
      <c r="A25" s="2">
        <v>42705</v>
      </c>
      <c r="B25">
        <v>2016</v>
      </c>
      <c r="C25">
        <v>12</v>
      </c>
      <c r="D25" s="5" t="s">
        <v>9</v>
      </c>
      <c r="E25" t="s">
        <v>10</v>
      </c>
      <c r="F25" t="s">
        <v>11</v>
      </c>
      <c r="G25" t="s">
        <v>10</v>
      </c>
      <c r="H25" t="s">
        <v>22</v>
      </c>
      <c r="I25">
        <v>6.2329999999999997</v>
      </c>
      <c r="J25" s="8">
        <f t="shared" si="1"/>
        <v>0.1008477569763334</v>
      </c>
      <c r="K25" s="8">
        <f t="shared" si="2"/>
        <v>-0.13861249309010493</v>
      </c>
      <c r="L25">
        <f t="shared" si="0"/>
        <v>0.1006377569763334</v>
      </c>
      <c r="M25">
        <f t="shared" si="3"/>
        <v>3.2817052172625677E-2</v>
      </c>
      <c r="N25" s="15">
        <v>2.1000000000000001E-4</v>
      </c>
      <c r="O25" s="8">
        <f>(I25 - MAX(I2:I25)) / MAX(I2:I25)</f>
        <v>-0.29001025173709993</v>
      </c>
      <c r="P25" s="15">
        <v>7.8299999999999995E-2</v>
      </c>
      <c r="Q25">
        <f t="shared" si="4"/>
        <v>1.7142194959506236</v>
      </c>
      <c r="R25">
        <f t="shared" si="5"/>
        <v>2.127620525464659E-3</v>
      </c>
      <c r="S25" s="15">
        <f t="shared" si="6"/>
        <v>0.10742222679292562</v>
      </c>
    </row>
    <row r="26" spans="1:19" x14ac:dyDescent="0.3">
      <c r="A26" s="2">
        <v>42736</v>
      </c>
      <c r="B26">
        <v>2017</v>
      </c>
      <c r="C26">
        <v>1</v>
      </c>
      <c r="D26" s="5" t="s">
        <v>9</v>
      </c>
      <c r="E26" t="s">
        <v>10</v>
      </c>
      <c r="F26" t="s">
        <v>11</v>
      </c>
      <c r="G26" t="s">
        <v>10</v>
      </c>
      <c r="H26" t="s">
        <v>22</v>
      </c>
      <c r="I26">
        <v>6.0979999999999999</v>
      </c>
      <c r="J26" s="8">
        <f t="shared" si="1"/>
        <v>-2.1658912241296294E-2</v>
      </c>
      <c r="K26" s="8">
        <f t="shared" si="2"/>
        <v>-0.15726920950801537</v>
      </c>
      <c r="L26">
        <f t="shared" si="0"/>
        <v>-2.1867912241296295E-2</v>
      </c>
      <c r="M26">
        <f t="shared" si="3"/>
        <v>0.12160935791154134</v>
      </c>
      <c r="N26" s="15">
        <v>2.0900000000000001E-4</v>
      </c>
      <c r="O26" s="8">
        <f>(I26 - MAX(I2:I26)) / MAX(I2:I26)</f>
        <v>-0.30538785738694613</v>
      </c>
      <c r="P26" s="15">
        <v>-1.8200000000000001E-2</v>
      </c>
      <c r="Q26">
        <f t="shared" si="4"/>
        <v>1.6986442503636625</v>
      </c>
      <c r="R26">
        <f t="shared" si="5"/>
        <v>2.8752076064993935E-3</v>
      </c>
      <c r="S26" s="15">
        <f t="shared" si="6"/>
        <v>0.10004116905800087</v>
      </c>
    </row>
    <row r="27" spans="1:19" x14ac:dyDescent="0.3">
      <c r="A27" s="2">
        <v>42767</v>
      </c>
      <c r="B27">
        <v>2017</v>
      </c>
      <c r="C27">
        <v>2</v>
      </c>
      <c r="D27" s="5" t="s">
        <v>9</v>
      </c>
      <c r="E27" t="s">
        <v>10</v>
      </c>
      <c r="F27" t="s">
        <v>11</v>
      </c>
      <c r="G27" t="s">
        <v>10</v>
      </c>
      <c r="H27" t="s">
        <v>22</v>
      </c>
      <c r="I27">
        <v>6.0039999999999996</v>
      </c>
      <c r="J27" s="8">
        <f t="shared" si="1"/>
        <v>-1.541489012791084E-2</v>
      </c>
      <c r="K27" s="8">
        <f t="shared" si="2"/>
        <v>-0.17025981205085683</v>
      </c>
      <c r="L27">
        <f t="shared" si="0"/>
        <v>-1.5629890127910842E-2</v>
      </c>
      <c r="M27">
        <f t="shared" si="3"/>
        <v>0.11420359005649591</v>
      </c>
      <c r="N27" s="15">
        <v>2.1499999999999999E-4</v>
      </c>
      <c r="O27" s="8">
        <f>(I27 - MAX(I2:I27)) / MAX(I2:I27)</f>
        <v>-0.31609522724683908</v>
      </c>
      <c r="P27" s="15">
        <v>2.75E-2</v>
      </c>
      <c r="Q27">
        <f t="shared" si="4"/>
        <v>1.7650214303368252</v>
      </c>
      <c r="R27">
        <f t="shared" si="5"/>
        <v>-7.0376488377966052E-3</v>
      </c>
      <c r="S27" s="15">
        <f t="shared" si="6"/>
        <v>0.10022021628137434</v>
      </c>
    </row>
    <row r="28" spans="1:19" x14ac:dyDescent="0.3">
      <c r="A28" s="2">
        <v>42795</v>
      </c>
      <c r="B28">
        <v>2017</v>
      </c>
      <c r="C28">
        <v>3</v>
      </c>
      <c r="D28" s="5" t="s">
        <v>9</v>
      </c>
      <c r="E28" t="s">
        <v>10</v>
      </c>
      <c r="F28" t="s">
        <v>11</v>
      </c>
      <c r="G28" t="s">
        <v>10</v>
      </c>
      <c r="H28" t="s">
        <v>22</v>
      </c>
      <c r="I28">
        <v>7.0650000000000004</v>
      </c>
      <c r="J28" s="8">
        <f t="shared" si="1"/>
        <v>0.17671552298467702</v>
      </c>
      <c r="K28" s="8">
        <f t="shared" si="2"/>
        <v>-2.3631840796019765E-2</v>
      </c>
      <c r="L28">
        <f t="shared" si="0"/>
        <v>0.17642552298467701</v>
      </c>
      <c r="M28">
        <f t="shared" si="3"/>
        <v>0.23783965197215037</v>
      </c>
      <c r="N28" s="15">
        <v>2.9E-4</v>
      </c>
      <c r="O28" s="8">
        <f>(I28 - MAX(I2:I28)) / MAX(I2:I28)</f>
        <v>-0.19523863765804755</v>
      </c>
      <c r="P28" s="15">
        <v>5.4600000000000003E-2</v>
      </c>
      <c r="Q28">
        <f t="shared" si="4"/>
        <v>2.0210843063559487</v>
      </c>
      <c r="R28">
        <f t="shared" si="5"/>
        <v>-6.0967552282549173E-4</v>
      </c>
      <c r="S28" s="15">
        <f t="shared" si="6"/>
        <v>0.11075028822673627</v>
      </c>
    </row>
    <row r="29" spans="1:19" x14ac:dyDescent="0.3">
      <c r="A29" s="2">
        <v>42826</v>
      </c>
      <c r="B29">
        <v>2017</v>
      </c>
      <c r="C29">
        <v>4</v>
      </c>
      <c r="D29" s="5" t="s">
        <v>9</v>
      </c>
      <c r="E29" t="s">
        <v>10</v>
      </c>
      <c r="F29" t="s">
        <v>11</v>
      </c>
      <c r="G29" t="s">
        <v>10</v>
      </c>
      <c r="H29" t="s">
        <v>22</v>
      </c>
      <c r="I29">
        <v>7.2519999999999998</v>
      </c>
      <c r="J29" s="8">
        <f t="shared" si="1"/>
        <v>2.6468506723283707E-2</v>
      </c>
      <c r="K29" s="8">
        <f t="shared" si="2"/>
        <v>2.2111663902708578E-3</v>
      </c>
      <c r="L29">
        <f t="shared" si="0"/>
        <v>2.6280506723283706E-2</v>
      </c>
      <c r="M29">
        <f t="shared" si="3"/>
        <v>0.22608077309966826</v>
      </c>
      <c r="N29" s="15">
        <v>1.8799999999999999E-4</v>
      </c>
      <c r="O29" s="8">
        <f>(I29 - MAX(I2:I29)) / MAX(I2:I29)</f>
        <v>-0.17393780612826065</v>
      </c>
      <c r="P29" s="15">
        <v>1.6799999999999999E-2</v>
      </c>
      <c r="Q29">
        <f t="shared" si="4"/>
        <v>2.0318682487500075</v>
      </c>
      <c r="R29">
        <f t="shared" si="5"/>
        <v>-3.6091617416568675E-3</v>
      </c>
      <c r="S29" s="15">
        <f t="shared" si="6"/>
        <v>0.1106378425999152</v>
      </c>
    </row>
    <row r="30" spans="1:19" x14ac:dyDescent="0.3">
      <c r="A30" s="2">
        <v>42856</v>
      </c>
      <c r="B30">
        <v>2017</v>
      </c>
      <c r="C30">
        <v>5</v>
      </c>
      <c r="D30" s="5" t="s">
        <v>9</v>
      </c>
      <c r="E30" t="s">
        <v>10</v>
      </c>
      <c r="F30" t="s">
        <v>11</v>
      </c>
      <c r="G30" t="s">
        <v>10</v>
      </c>
      <c r="H30" t="s">
        <v>22</v>
      </c>
      <c r="I30">
        <v>7.1559999999999997</v>
      </c>
      <c r="J30" s="8">
        <f t="shared" si="1"/>
        <v>-1.3237727523441821E-2</v>
      </c>
      <c r="K30" s="8">
        <f t="shared" si="2"/>
        <v>-1.1055831951354289E-2</v>
      </c>
      <c r="L30">
        <f t="shared" si="0"/>
        <v>-1.3517727523441821E-2</v>
      </c>
      <c r="M30">
        <f t="shared" si="3"/>
        <v>0.21822531610449969</v>
      </c>
      <c r="N30" s="15">
        <v>2.7999999999999998E-4</v>
      </c>
      <c r="O30" s="8">
        <f>(I30 - MAX(I2:I30)) / MAX(I2:I30)</f>
        <v>-0.1848729923681513</v>
      </c>
      <c r="P30" s="15">
        <v>-1.4E-3</v>
      </c>
      <c r="Q30">
        <f t="shared" si="4"/>
        <v>2.0359795846258528</v>
      </c>
      <c r="R30">
        <f t="shared" si="5"/>
        <v>-2.2450018090608946E-3</v>
      </c>
      <c r="S30" s="15">
        <f t="shared" si="6"/>
        <v>0.11089843489538863</v>
      </c>
    </row>
    <row r="31" spans="1:19" x14ac:dyDescent="0.3">
      <c r="A31" s="2">
        <v>42887</v>
      </c>
      <c r="B31">
        <v>2017</v>
      </c>
      <c r="C31">
        <v>6</v>
      </c>
      <c r="D31" s="5" t="s">
        <v>9</v>
      </c>
      <c r="E31" t="s">
        <v>10</v>
      </c>
      <c r="F31" t="s">
        <v>11</v>
      </c>
      <c r="G31" t="s">
        <v>10</v>
      </c>
      <c r="H31" t="s">
        <v>22</v>
      </c>
      <c r="I31">
        <v>7.1689999999999996</v>
      </c>
      <c r="J31" s="8">
        <f t="shared" si="1"/>
        <v>1.816657350475112E-3</v>
      </c>
      <c r="K31" s="8">
        <f t="shared" si="2"/>
        <v>-9.2592592592590783E-3</v>
      </c>
      <c r="L31">
        <f t="shared" si="0"/>
        <v>1.607657350475112E-3</v>
      </c>
      <c r="M31">
        <f t="shared" si="3"/>
        <v>0.38041462294509099</v>
      </c>
      <c r="N31" s="15">
        <v>2.0900000000000001E-4</v>
      </c>
      <c r="O31" s="8">
        <f>(I31 - MAX(I2:I31)) / MAX(I2:I31)</f>
        <v>-0.18339218589816611</v>
      </c>
      <c r="P31" s="15">
        <v>-3.1699999999999999E-2</v>
      </c>
      <c r="Q31">
        <f t="shared" si="4"/>
        <v>1.6175312526943559</v>
      </c>
      <c r="R31">
        <f t="shared" si="5"/>
        <v>1.1413734492381467E-2</v>
      </c>
      <c r="S31" s="15">
        <f t="shared" si="6"/>
        <v>9.6918889993454577E-2</v>
      </c>
    </row>
    <row r="32" spans="1:19" x14ac:dyDescent="0.3">
      <c r="A32" s="2">
        <v>42917</v>
      </c>
      <c r="B32">
        <v>2017</v>
      </c>
      <c r="C32">
        <v>7</v>
      </c>
      <c r="D32" s="5" t="s">
        <v>9</v>
      </c>
      <c r="E32" t="s">
        <v>10</v>
      </c>
      <c r="F32" t="s">
        <v>11</v>
      </c>
      <c r="G32" t="s">
        <v>10</v>
      </c>
      <c r="H32" t="s">
        <v>22</v>
      </c>
      <c r="I32">
        <v>7.55</v>
      </c>
      <c r="J32" s="8">
        <f t="shared" si="1"/>
        <v>5.3145487515692598E-2</v>
      </c>
      <c r="K32" s="8">
        <f t="shared" si="2"/>
        <v>4.3394140409066084E-2</v>
      </c>
      <c r="L32">
        <f t="shared" si="0"/>
        <v>5.27654875156926E-2</v>
      </c>
      <c r="M32">
        <f t="shared" si="3"/>
        <v>0.39803551487355943</v>
      </c>
      <c r="N32" s="15">
        <v>3.8000000000000002E-4</v>
      </c>
      <c r="O32" s="8">
        <f>(I32 - MAX(I2:I32)) / MAX(I2:I32)</f>
        <v>-0.13999316550860008</v>
      </c>
      <c r="P32" s="15">
        <v>2.2000000000000001E-3</v>
      </c>
      <c r="Q32">
        <f t="shared" si="4"/>
        <v>1.7376614057732129</v>
      </c>
      <c r="R32">
        <f t="shared" si="5"/>
        <v>1.7393905315514359E-2</v>
      </c>
      <c r="S32" s="15">
        <f t="shared" si="6"/>
        <v>9.7010193649421261E-2</v>
      </c>
    </row>
    <row r="33" spans="1:19" x14ac:dyDescent="0.3">
      <c r="A33" s="2">
        <v>42948</v>
      </c>
      <c r="B33">
        <v>2017</v>
      </c>
      <c r="C33">
        <v>8</v>
      </c>
      <c r="D33" s="5" t="s">
        <v>9</v>
      </c>
      <c r="E33" t="s">
        <v>10</v>
      </c>
      <c r="F33" t="s">
        <v>11</v>
      </c>
      <c r="G33" t="s">
        <v>10</v>
      </c>
      <c r="H33" t="s">
        <v>22</v>
      </c>
      <c r="I33">
        <v>7.3239999999999998</v>
      </c>
      <c r="J33" s="8">
        <f t="shared" si="1"/>
        <v>-2.9933774834437085E-2</v>
      </c>
      <c r="K33" s="8">
        <f t="shared" si="2"/>
        <v>1.2161415146490162E-2</v>
      </c>
      <c r="L33">
        <f t="shared" si="0"/>
        <v>-3.0221774834437085E-2</v>
      </c>
      <c r="M33">
        <f t="shared" si="3"/>
        <v>0.30927897239532065</v>
      </c>
      <c r="N33" s="15">
        <v>2.8800000000000001E-4</v>
      </c>
      <c r="O33" s="8">
        <f>(I33 - MAX(I2:I33)) / MAX(I2:I33)</f>
        <v>-0.16573641644834264</v>
      </c>
      <c r="P33" s="15">
        <v>-8.1000000000000013E-3</v>
      </c>
      <c r="Q33">
        <f t="shared" si="4"/>
        <v>1.797175920259213</v>
      </c>
      <c r="R33">
        <f t="shared" si="5"/>
        <v>1.1392052082581944E-2</v>
      </c>
      <c r="S33" s="15">
        <f t="shared" si="6"/>
        <v>9.8449166952971831E-2</v>
      </c>
    </row>
    <row r="34" spans="1:19" x14ac:dyDescent="0.3">
      <c r="A34" s="2">
        <v>42979</v>
      </c>
      <c r="B34">
        <v>2017</v>
      </c>
      <c r="C34">
        <v>9</v>
      </c>
      <c r="D34" s="5" t="s">
        <v>9</v>
      </c>
      <c r="E34" t="s">
        <v>10</v>
      </c>
      <c r="F34" t="s">
        <v>11</v>
      </c>
      <c r="G34" t="s">
        <v>10</v>
      </c>
      <c r="H34" t="s">
        <v>22</v>
      </c>
      <c r="I34">
        <v>7.4610000000000003</v>
      </c>
      <c r="J34" s="8">
        <f t="shared" si="1"/>
        <v>1.8705625341343592E-2</v>
      </c>
      <c r="K34" s="8">
        <f t="shared" si="2"/>
        <v>3.109452736318441E-2</v>
      </c>
      <c r="L34">
        <f t="shared" si="0"/>
        <v>1.8416625341343591E-2</v>
      </c>
      <c r="M34">
        <f t="shared" si="3"/>
        <v>0.3621515911890722</v>
      </c>
      <c r="N34" s="15">
        <v>2.8899999999999998E-4</v>
      </c>
      <c r="O34" s="8">
        <f>(I34 - MAX(I2:I34)) / MAX(I2:I34)</f>
        <v>-0.15013099441849864</v>
      </c>
      <c r="P34" s="15">
        <v>5.0700000000000002E-2</v>
      </c>
      <c r="Q34">
        <f t="shared" si="4"/>
        <v>1.476068875254084</v>
      </c>
      <c r="R34">
        <f t="shared" si="5"/>
        <v>1.2213146689441103E-2</v>
      </c>
      <c r="S34" s="15">
        <f t="shared" si="6"/>
        <v>9.6383648152842991E-2</v>
      </c>
    </row>
    <row r="35" spans="1:19" x14ac:dyDescent="0.3">
      <c r="A35" s="2">
        <v>43009</v>
      </c>
      <c r="B35">
        <v>2017</v>
      </c>
      <c r="C35">
        <v>10</v>
      </c>
      <c r="D35" s="5" t="s">
        <v>9</v>
      </c>
      <c r="E35" t="s">
        <v>10</v>
      </c>
      <c r="F35" t="s">
        <v>11</v>
      </c>
      <c r="G35" t="s">
        <v>10</v>
      </c>
      <c r="H35" t="s">
        <v>22</v>
      </c>
      <c r="I35">
        <v>7.4139999999999997</v>
      </c>
      <c r="J35" s="8">
        <f t="shared" ref="J35:J66" si="7">(I35-I34)/I34</f>
        <v>-6.2994236697494427E-3</v>
      </c>
      <c r="K35" s="8">
        <f t="shared" ref="K35:K66" si="8">(K34+1)*(J35+1)-1</f>
        <v>2.4599226091763571E-2</v>
      </c>
      <c r="L35">
        <f t="shared" si="0"/>
        <v>-6.6094236697494431E-3</v>
      </c>
      <c r="M35">
        <f t="shared" si="3"/>
        <v>0.20019461619124174</v>
      </c>
      <c r="N35" s="15">
        <v>3.1E-4</v>
      </c>
      <c r="O35" s="8">
        <f>(I35 - MAX(I2:I35)) / MAX(I2:I35)</f>
        <v>-0.15548467934844518</v>
      </c>
      <c r="P35" s="15">
        <v>1.8700000000000001E-2</v>
      </c>
      <c r="Q35">
        <f t="shared" si="4"/>
        <v>1.4290045389482788</v>
      </c>
      <c r="R35">
        <f t="shared" si="5"/>
        <v>-7.5691226288587144E-3</v>
      </c>
      <c r="S35" s="15">
        <f t="shared" si="6"/>
        <v>7.2340030189627577E-2</v>
      </c>
    </row>
    <row r="36" spans="1:19" x14ac:dyDescent="0.3">
      <c r="A36" s="2">
        <v>43040</v>
      </c>
      <c r="B36">
        <v>2017</v>
      </c>
      <c r="C36">
        <v>11</v>
      </c>
      <c r="D36" s="5" t="s">
        <v>9</v>
      </c>
      <c r="E36" t="s">
        <v>10</v>
      </c>
      <c r="F36" t="s">
        <v>11</v>
      </c>
      <c r="G36" t="s">
        <v>10</v>
      </c>
      <c r="H36" t="s">
        <v>22</v>
      </c>
      <c r="I36">
        <v>7.0869999999999997</v>
      </c>
      <c r="J36" s="8">
        <f t="shared" si="7"/>
        <v>-4.4105745886161313E-2</v>
      </c>
      <c r="K36" s="8">
        <f t="shared" si="8"/>
        <v>-2.059148700939728E-2</v>
      </c>
      <c r="L36">
        <f t="shared" si="0"/>
        <v>-4.4362745886161313E-2</v>
      </c>
      <c r="M36">
        <f t="shared" si="3"/>
        <v>0.32156720274802841</v>
      </c>
      <c r="N36" s="15">
        <v>2.5700000000000001E-4</v>
      </c>
      <c r="O36" s="8">
        <f>(I36 - MAX(I2:I36)) / MAX(I2:I36)</f>
        <v>-0.19273265747807269</v>
      </c>
      <c r="P36" s="15">
        <v>-2.52E-2</v>
      </c>
      <c r="Q36">
        <f t="shared" si="4"/>
        <v>1.3088726782236777</v>
      </c>
      <c r="R36">
        <f t="shared" si="5"/>
        <v>2.7581179969941409E-3</v>
      </c>
      <c r="S36" s="15">
        <f t="shared" si="6"/>
        <v>6.3212313663701225E-2</v>
      </c>
    </row>
    <row r="37" spans="1:19" x14ac:dyDescent="0.3">
      <c r="A37" s="2">
        <v>43070</v>
      </c>
      <c r="B37">
        <v>2017</v>
      </c>
      <c r="C37">
        <v>12</v>
      </c>
      <c r="D37" s="5" t="s">
        <v>9</v>
      </c>
      <c r="E37" t="s">
        <v>10</v>
      </c>
      <c r="F37" t="s">
        <v>11</v>
      </c>
      <c r="G37" t="s">
        <v>10</v>
      </c>
      <c r="H37" t="s">
        <v>22</v>
      </c>
      <c r="I37">
        <v>7.0179999999999998</v>
      </c>
      <c r="J37" s="8">
        <f t="shared" si="7"/>
        <v>-9.7361365881190841E-3</v>
      </c>
      <c r="K37" s="8">
        <f t="shared" si="8"/>
        <v>-3.0127142067440382E-2</v>
      </c>
      <c r="L37">
        <f t="shared" si="0"/>
        <v>-9.9831365881190848E-3</v>
      </c>
      <c r="M37">
        <f t="shared" si="3"/>
        <v>0.19047909094268739</v>
      </c>
      <c r="N37" s="15">
        <v>2.4699999999999999E-4</v>
      </c>
      <c r="O37" s="8">
        <f>(I37 - MAX(I2:I37)) / MAX(I2:I37)</f>
        <v>-0.20059232258799409</v>
      </c>
      <c r="P37" s="15">
        <v>-1.8499999999999999E-2</v>
      </c>
      <c r="Q37">
        <f t="shared" si="4"/>
        <v>1.3121160847707698</v>
      </c>
      <c r="R37">
        <f t="shared" si="5"/>
        <v>4.0846229992376193E-3</v>
      </c>
      <c r="S37" s="15">
        <f t="shared" si="6"/>
        <v>5.831925715338545E-2</v>
      </c>
    </row>
    <row r="38" spans="1:19" x14ac:dyDescent="0.3">
      <c r="A38" s="2">
        <v>43101</v>
      </c>
      <c r="B38">
        <v>2018</v>
      </c>
      <c r="C38">
        <v>1</v>
      </c>
      <c r="D38" s="5" t="s">
        <v>9</v>
      </c>
      <c r="E38" t="s">
        <v>10</v>
      </c>
      <c r="F38" t="s">
        <v>11</v>
      </c>
      <c r="G38" t="s">
        <v>10</v>
      </c>
      <c r="H38" t="s">
        <v>22</v>
      </c>
      <c r="I38">
        <v>7.468</v>
      </c>
      <c r="J38" s="8">
        <f t="shared" si="7"/>
        <v>6.4120832145910536E-2</v>
      </c>
      <c r="K38" s="8">
        <f t="shared" si="8"/>
        <v>3.2061912658927882E-2</v>
      </c>
      <c r="L38">
        <f t="shared" si="0"/>
        <v>6.372583214591053E-2</v>
      </c>
      <c r="M38">
        <f t="shared" si="3"/>
        <v>0.30837339555346749</v>
      </c>
      <c r="N38" s="15">
        <v>3.9500000000000001E-4</v>
      </c>
      <c r="O38" s="8">
        <f>(I38 - MAX(I2:I38)) / MAX(I2:I38)</f>
        <v>-0.14933363708850667</v>
      </c>
      <c r="P38" s="15">
        <v>3.0099999999999998E-2</v>
      </c>
      <c r="Q38">
        <f t="shared" si="4"/>
        <v>1.3545011188354856</v>
      </c>
      <c r="R38">
        <f t="shared" si="5"/>
        <v>5.5596686440132093E-3</v>
      </c>
      <c r="S38" s="15">
        <f t="shared" si="6"/>
        <v>5.9153647436275415E-2</v>
      </c>
    </row>
    <row r="39" spans="1:19" x14ac:dyDescent="0.3">
      <c r="A39" s="2">
        <v>43132</v>
      </c>
      <c r="B39">
        <v>2018</v>
      </c>
      <c r="C39">
        <v>2</v>
      </c>
      <c r="D39" s="5" t="s">
        <v>9</v>
      </c>
      <c r="E39" t="s">
        <v>10</v>
      </c>
      <c r="F39" t="s">
        <v>11</v>
      </c>
      <c r="G39" t="s">
        <v>10</v>
      </c>
      <c r="H39" t="s">
        <v>22</v>
      </c>
      <c r="I39">
        <v>6.7990000000000004</v>
      </c>
      <c r="J39" s="8">
        <f t="shared" si="7"/>
        <v>-8.9582217461167596E-2</v>
      </c>
      <c r="K39" s="8">
        <f t="shared" si="8"/>
        <v>-6.0392482034272721E-2</v>
      </c>
      <c r="L39">
        <f t="shared" si="0"/>
        <v>-9.013121746116759E-2</v>
      </c>
      <c r="M39">
        <f t="shared" si="3"/>
        <v>0.18109189961736111</v>
      </c>
      <c r="N39" s="15">
        <v>5.4900000000000001E-4</v>
      </c>
      <c r="O39" s="8">
        <f>(I39 - MAX(I2:I39)) / MAX(I2:I39)</f>
        <v>-0.22553821619774456</v>
      </c>
      <c r="P39" s="15">
        <v>-4.7199999999999999E-2</v>
      </c>
      <c r="Q39">
        <f t="shared" si="4"/>
        <v>1.6193300081031283</v>
      </c>
      <c r="R39">
        <f t="shared" si="5"/>
        <v>6.9971207379928091E-3</v>
      </c>
      <c r="S39" s="15">
        <f t="shared" si="6"/>
        <v>6.6446744444582914E-2</v>
      </c>
    </row>
    <row r="40" spans="1:19" x14ac:dyDescent="0.3">
      <c r="A40" s="2">
        <v>43160</v>
      </c>
      <c r="B40">
        <v>2018</v>
      </c>
      <c r="C40">
        <v>3</v>
      </c>
      <c r="D40" s="5" t="s">
        <v>9</v>
      </c>
      <c r="E40" t="s">
        <v>10</v>
      </c>
      <c r="F40" t="s">
        <v>11</v>
      </c>
      <c r="G40" t="s">
        <v>10</v>
      </c>
      <c r="H40" t="s">
        <v>22</v>
      </c>
      <c r="I40">
        <v>6.3440000000000003</v>
      </c>
      <c r="J40" s="8">
        <f t="shared" si="7"/>
        <v>-6.6921606118546847E-2</v>
      </c>
      <c r="K40" s="8">
        <f t="shared" si="8"/>
        <v>-0.12327252625760055</v>
      </c>
      <c r="L40">
        <f t="shared" si="0"/>
        <v>-6.7362606118546844E-2</v>
      </c>
      <c r="M40">
        <f t="shared" si="3"/>
        <v>-0.18159744700032535</v>
      </c>
      <c r="N40" s="15">
        <v>4.4099999999999999E-4</v>
      </c>
      <c r="O40" s="8">
        <f>(I40 - MAX(I2:I40)) / MAX(I2:I40)</f>
        <v>-0.27736644264722632</v>
      </c>
      <c r="P40" s="15">
        <v>-2.2499999999999999E-2</v>
      </c>
      <c r="Q40">
        <f t="shared" si="4"/>
        <v>1.1678587805930136</v>
      </c>
      <c r="R40">
        <f t="shared" si="5"/>
        <v>-4.3963681932914006E-3</v>
      </c>
      <c r="S40" s="15">
        <f t="shared" si="6"/>
        <v>4.561027914888563E-2</v>
      </c>
    </row>
    <row r="41" spans="1:19" x14ac:dyDescent="0.3">
      <c r="A41" s="2">
        <v>43191</v>
      </c>
      <c r="B41">
        <v>2018</v>
      </c>
      <c r="C41">
        <v>4</v>
      </c>
      <c r="D41" s="5" t="s">
        <v>9</v>
      </c>
      <c r="E41" t="s">
        <v>10</v>
      </c>
      <c r="F41" t="s">
        <v>11</v>
      </c>
      <c r="G41" t="s">
        <v>10</v>
      </c>
      <c r="H41" t="s">
        <v>22</v>
      </c>
      <c r="I41">
        <v>6.641</v>
      </c>
      <c r="J41" s="8">
        <f t="shared" si="7"/>
        <v>4.6815889029003736E-2</v>
      </c>
      <c r="K41" s="8">
        <f t="shared" si="8"/>
        <v>-8.2227750138197497E-2</v>
      </c>
      <c r="L41">
        <f t="shared" si="0"/>
        <v>4.6415889029003739E-2</v>
      </c>
      <c r="M41">
        <f t="shared" si="3"/>
        <v>-0.13948319958549013</v>
      </c>
      <c r="N41" s="15">
        <v>4.0000000000000002E-4</v>
      </c>
      <c r="O41" s="8">
        <f>(I41 - MAX(I2:I41)) / MAX(I2:I41)</f>
        <v>-0.24353571021756462</v>
      </c>
      <c r="P41" s="15">
        <v>5.21E-2</v>
      </c>
      <c r="Q41">
        <f t="shared" si="4"/>
        <v>1.1069277390866596</v>
      </c>
      <c r="R41">
        <f t="shared" si="5"/>
        <v>-6.1578396502768949E-3</v>
      </c>
      <c r="S41" s="15">
        <f t="shared" si="6"/>
        <v>4.7351664892695794E-2</v>
      </c>
    </row>
    <row r="42" spans="1:19" x14ac:dyDescent="0.3">
      <c r="A42" s="2">
        <v>43221</v>
      </c>
      <c r="B42">
        <v>2018</v>
      </c>
      <c r="C42">
        <v>5</v>
      </c>
      <c r="D42" s="5" t="s">
        <v>9</v>
      </c>
      <c r="E42" t="s">
        <v>10</v>
      </c>
      <c r="F42" t="s">
        <v>11</v>
      </c>
      <c r="G42" t="s">
        <v>10</v>
      </c>
      <c r="H42" t="s">
        <v>22</v>
      </c>
      <c r="I42">
        <v>5.7619999999999996</v>
      </c>
      <c r="J42" s="8">
        <f t="shared" si="7"/>
        <v>-0.13235958439993983</v>
      </c>
      <c r="K42" s="8">
        <f t="shared" si="8"/>
        <v>-0.2037037037037035</v>
      </c>
      <c r="L42">
        <f t="shared" si="0"/>
        <v>-0.13273458439993982</v>
      </c>
      <c r="M42">
        <f t="shared" si="3"/>
        <v>-0.27659563686122679</v>
      </c>
      <c r="N42" s="15">
        <v>3.7500000000000001E-4</v>
      </c>
      <c r="O42" s="8">
        <f>(I42 - MAX(I2:I42)) / MAX(I2:I42)</f>
        <v>-0.34366100922656345</v>
      </c>
      <c r="P42" s="15">
        <v>-3.6700000000000003E-2</v>
      </c>
      <c r="Q42">
        <f t="shared" si="4"/>
        <v>1.3369898479137272</v>
      </c>
      <c r="R42">
        <f t="shared" si="5"/>
        <v>-1.205612717463727E-2</v>
      </c>
      <c r="S42" s="15">
        <f t="shared" si="6"/>
        <v>5.9796676425061659E-2</v>
      </c>
    </row>
    <row r="43" spans="1:19" x14ac:dyDescent="0.3">
      <c r="A43" s="2">
        <v>43252</v>
      </c>
      <c r="B43">
        <v>2018</v>
      </c>
      <c r="C43">
        <v>6</v>
      </c>
      <c r="D43" s="5" t="s">
        <v>9</v>
      </c>
      <c r="E43" t="s">
        <v>10</v>
      </c>
      <c r="F43" t="s">
        <v>11</v>
      </c>
      <c r="G43" t="s">
        <v>10</v>
      </c>
      <c r="H43" t="s">
        <v>22</v>
      </c>
      <c r="I43">
        <v>5.9939999999999998</v>
      </c>
      <c r="J43" s="8">
        <f t="shared" si="7"/>
        <v>4.0263797292606769E-2</v>
      </c>
      <c r="K43" s="8">
        <f t="shared" si="8"/>
        <v>-0.17164179104477584</v>
      </c>
      <c r="L43">
        <f t="shared" si="0"/>
        <v>3.9990797292606767E-2</v>
      </c>
      <c r="M43">
        <f t="shared" si="3"/>
        <v>-0.21571727658755421</v>
      </c>
      <c r="N43" s="15">
        <v>2.7300000000000002E-4</v>
      </c>
      <c r="O43" s="8">
        <f>(I43 - MAX(I2:I43)) / MAX(I2:I43)</f>
        <v>-0.31723430914682765</v>
      </c>
      <c r="P43" s="15">
        <v>-3.2000000000000002E-3</v>
      </c>
      <c r="Q43">
        <f t="shared" si="4"/>
        <v>1.474526974024077</v>
      </c>
      <c r="R43">
        <f t="shared" si="5"/>
        <v>-1.1890461769348647E-2</v>
      </c>
      <c r="S43" s="15">
        <f t="shared" si="6"/>
        <v>6.1844396581663033E-2</v>
      </c>
    </row>
    <row r="44" spans="1:19" x14ac:dyDescent="0.3">
      <c r="A44" s="2">
        <v>43282</v>
      </c>
      <c r="B44">
        <v>2018</v>
      </c>
      <c r="C44">
        <v>7</v>
      </c>
      <c r="D44" s="5" t="s">
        <v>9</v>
      </c>
      <c r="E44" t="s">
        <v>10</v>
      </c>
      <c r="F44" t="s">
        <v>11</v>
      </c>
      <c r="G44" t="s">
        <v>10</v>
      </c>
      <c r="H44" t="s">
        <v>22</v>
      </c>
      <c r="I44">
        <v>6.2030000000000003</v>
      </c>
      <c r="J44" s="8">
        <f t="shared" si="7"/>
        <v>3.486820153486829E-2</v>
      </c>
      <c r="K44" s="8">
        <f t="shared" si="8"/>
        <v>-0.14275843007186262</v>
      </c>
      <c r="L44">
        <f t="shared" si="0"/>
        <v>3.463920153486829E-2</v>
      </c>
      <c r="M44">
        <f t="shared" si="3"/>
        <v>-0.24640425369066901</v>
      </c>
      <c r="N44" s="15">
        <v>2.2900000000000001E-4</v>
      </c>
      <c r="O44" s="8">
        <f>(I44 - MAX(I2:I44)) / MAX(I2:I44)</f>
        <v>-0.2934274974370657</v>
      </c>
      <c r="P44" s="15">
        <v>3.8300000000000001E-2</v>
      </c>
      <c r="Q44">
        <f t="shared" si="4"/>
        <v>1.4491159103475415</v>
      </c>
      <c r="R44">
        <f t="shared" si="5"/>
        <v>-1.7803640022887882E-2</v>
      </c>
      <c r="S44" s="15">
        <f t="shared" si="6"/>
        <v>6.0272614665072062E-2</v>
      </c>
    </row>
    <row r="45" spans="1:19" x14ac:dyDescent="0.3">
      <c r="A45" s="2">
        <v>43313</v>
      </c>
      <c r="B45">
        <v>2018</v>
      </c>
      <c r="C45">
        <v>8</v>
      </c>
      <c r="D45" s="5" t="s">
        <v>9</v>
      </c>
      <c r="E45" t="s">
        <v>10</v>
      </c>
      <c r="F45" t="s">
        <v>11</v>
      </c>
      <c r="G45" t="s">
        <v>10</v>
      </c>
      <c r="H45" t="s">
        <v>22</v>
      </c>
      <c r="I45">
        <v>5.2990000000000004</v>
      </c>
      <c r="J45" s="8">
        <f t="shared" si="7"/>
        <v>-0.14573593422537479</v>
      </c>
      <c r="K45" s="8">
        <f t="shared" si="8"/>
        <v>-0.26768933112216664</v>
      </c>
      <c r="L45">
        <f t="shared" si="0"/>
        <v>-0.14597793422537478</v>
      </c>
      <c r="M45">
        <f t="shared" ref="M45:M76" si="9">(AVERAGE(J34:J45)-AVERAGE(N34:N45))/STDEV(J34:J45)</f>
        <v>-0.34388240254569585</v>
      </c>
      <c r="N45" s="15">
        <v>2.42E-4</v>
      </c>
      <c r="O45" s="8">
        <f>(I45 - MAX(I2:I45)) / MAX(I2:I45)</f>
        <v>-0.39640050119603593</v>
      </c>
      <c r="P45" s="15">
        <v>-3.7599999999999988E-2</v>
      </c>
      <c r="Q45">
        <f t="shared" ref="Q45:Q76" si="10" xml:space="preserve"> _xlfn.COVARIANCE.P(J34:J45, P34:P45) / _xlfn.VAR.P(P34:P45)</f>
        <v>1.6387551981110167</v>
      </c>
      <c r="R45">
        <f t="shared" ref="R45:R76" si="11">AVERAGE(J34:J45)-(AVERAGE(N34:N45)+Q45*(AVERAGE(P34:P45)-AVERAGE(N34:N45)))</f>
        <v>-2.3814004644032011E-2</v>
      </c>
      <c r="S45" s="15">
        <f t="shared" ref="S45:S76" si="12">STDEV(J34:J45)</f>
        <v>7.1238816144971281E-2</v>
      </c>
    </row>
    <row r="46" spans="1:19" x14ac:dyDescent="0.3">
      <c r="A46" s="2">
        <v>43344</v>
      </c>
      <c r="B46">
        <v>2018</v>
      </c>
      <c r="C46">
        <v>9</v>
      </c>
      <c r="D46" s="5" t="s">
        <v>9</v>
      </c>
      <c r="E46" t="s">
        <v>10</v>
      </c>
      <c r="F46" t="s">
        <v>11</v>
      </c>
      <c r="G46" t="s">
        <v>10</v>
      </c>
      <c r="H46" t="s">
        <v>22</v>
      </c>
      <c r="I46">
        <v>5.4180000000000001</v>
      </c>
      <c r="J46" s="8">
        <f t="shared" si="7"/>
        <v>2.245706737120207E-2</v>
      </c>
      <c r="K46" s="8">
        <f t="shared" si="8"/>
        <v>-0.25124378109452705</v>
      </c>
      <c r="L46">
        <f t="shared" si="0"/>
        <v>2.214806737120207E-2</v>
      </c>
      <c r="M46">
        <f t="shared" si="9"/>
        <v>-0.33850467949675622</v>
      </c>
      <c r="N46" s="15">
        <v>3.0899999999999998E-4</v>
      </c>
      <c r="O46" s="8">
        <f>(I46 - MAX(I2:I46)) / MAX(I2:I46)</f>
        <v>-0.38284542658617154</v>
      </c>
      <c r="P46" s="15">
        <v>1.9E-3</v>
      </c>
      <c r="Q46">
        <f t="shared" si="10"/>
        <v>1.8500605882945644</v>
      </c>
      <c r="R46">
        <f t="shared" si="11"/>
        <v>-1.5888220807444668E-2</v>
      </c>
      <c r="S46" s="15">
        <f t="shared" si="12"/>
        <v>7.1451956835318728E-2</v>
      </c>
    </row>
    <row r="47" spans="1:19" x14ac:dyDescent="0.3">
      <c r="A47" s="2">
        <v>43374</v>
      </c>
      <c r="B47">
        <v>2018</v>
      </c>
      <c r="C47">
        <v>10</v>
      </c>
      <c r="D47" s="5" t="s">
        <v>9</v>
      </c>
      <c r="E47" t="s">
        <v>10</v>
      </c>
      <c r="F47" t="s">
        <v>11</v>
      </c>
      <c r="G47" t="s">
        <v>10</v>
      </c>
      <c r="H47" t="s">
        <v>22</v>
      </c>
      <c r="I47">
        <v>4.8209999999999997</v>
      </c>
      <c r="J47" s="8">
        <f t="shared" si="7"/>
        <v>-0.11018826135105213</v>
      </c>
      <c r="K47" s="8">
        <f t="shared" si="8"/>
        <v>-0.33374792703150891</v>
      </c>
      <c r="L47">
        <f t="shared" si="0"/>
        <v>-0.11052126135105213</v>
      </c>
      <c r="M47">
        <f t="shared" si="9"/>
        <v>-0.43608202537862262</v>
      </c>
      <c r="N47" s="15">
        <v>3.3300000000000002E-4</v>
      </c>
      <c r="O47" s="8">
        <f>(I47 - MAX(I2:I47)) / MAX(I2:I47)</f>
        <v>-0.45084861601549153</v>
      </c>
      <c r="P47" s="15">
        <v>-5.9299999999999999E-2</v>
      </c>
      <c r="Q47">
        <f t="shared" si="10"/>
        <v>1.8472990906055278</v>
      </c>
      <c r="R47">
        <f t="shared" si="11"/>
        <v>-1.2548942796702618E-2</v>
      </c>
      <c r="S47" s="15">
        <f t="shared" si="12"/>
        <v>7.5321016788556253E-2</v>
      </c>
    </row>
    <row r="48" spans="1:19" x14ac:dyDescent="0.3">
      <c r="A48" s="2">
        <v>43405</v>
      </c>
      <c r="B48">
        <v>2018</v>
      </c>
      <c r="C48">
        <v>11</v>
      </c>
      <c r="D48" s="5" t="s">
        <v>9</v>
      </c>
      <c r="E48" t="s">
        <v>10</v>
      </c>
      <c r="F48" t="s">
        <v>11</v>
      </c>
      <c r="G48" t="s">
        <v>10</v>
      </c>
      <c r="H48" t="s">
        <v>22</v>
      </c>
      <c r="I48">
        <v>4.952</v>
      </c>
      <c r="J48" s="8">
        <f t="shared" si="7"/>
        <v>2.7172785729101895E-2</v>
      </c>
      <c r="K48" s="8">
        <f t="shared" si="8"/>
        <v>-0.31564400221116606</v>
      </c>
      <c r="L48">
        <f t="shared" si="0"/>
        <v>2.6910785729101896E-2</v>
      </c>
      <c r="M48">
        <f t="shared" si="9"/>
        <v>-0.34892737004794339</v>
      </c>
      <c r="N48" s="15">
        <v>2.6200000000000003E-4</v>
      </c>
      <c r="O48" s="8">
        <f>(I48 - MAX(I2:I48)) / MAX(I2:I48)</f>
        <v>-0.43592664312564072</v>
      </c>
      <c r="P48" s="15">
        <v>-7.6E-3</v>
      </c>
      <c r="Q48">
        <f t="shared" si="10"/>
        <v>1.8717670325564961</v>
      </c>
      <c r="R48">
        <f t="shared" si="11"/>
        <v>-9.0851187280637097E-3</v>
      </c>
      <c r="S48" s="15">
        <f t="shared" si="12"/>
        <v>7.7112553776148923E-2</v>
      </c>
    </row>
    <row r="49" spans="1:19" x14ac:dyDescent="0.3">
      <c r="A49" s="2">
        <v>43435</v>
      </c>
      <c r="B49">
        <v>2018</v>
      </c>
      <c r="C49">
        <v>12</v>
      </c>
      <c r="D49" s="5" t="s">
        <v>9</v>
      </c>
      <c r="E49" t="s">
        <v>10</v>
      </c>
      <c r="F49" t="s">
        <v>11</v>
      </c>
      <c r="G49" t="s">
        <v>10</v>
      </c>
      <c r="H49" t="s">
        <v>22</v>
      </c>
      <c r="I49">
        <v>4.5739999999999998</v>
      </c>
      <c r="J49" s="8">
        <f t="shared" si="7"/>
        <v>-7.6332794830371586E-2</v>
      </c>
      <c r="K49" s="8">
        <f t="shared" si="8"/>
        <v>-0.36788280818131536</v>
      </c>
      <c r="L49">
        <f t="shared" si="0"/>
        <v>-7.648879483037159E-2</v>
      </c>
      <c r="M49">
        <f t="shared" si="9"/>
        <v>-0.41505238204587042</v>
      </c>
      <c r="N49" s="15">
        <v>1.56E-4</v>
      </c>
      <c r="O49" s="8">
        <f>(I49 - MAX(I2:I49)) / MAX(I2:I49)</f>
        <v>-0.47898393894521019</v>
      </c>
      <c r="P49" s="15">
        <v>-5.8799999999999998E-2</v>
      </c>
      <c r="Q49">
        <f t="shared" si="10"/>
        <v>1.7580540878486368</v>
      </c>
      <c r="R49">
        <f t="shared" si="11"/>
        <v>-9.8191465548589686E-3</v>
      </c>
      <c r="S49" s="15">
        <f t="shared" si="12"/>
        <v>7.8180056728503422E-2</v>
      </c>
    </row>
    <row r="50" spans="1:19" x14ac:dyDescent="0.3">
      <c r="A50" s="2">
        <v>43466</v>
      </c>
      <c r="B50">
        <v>2019</v>
      </c>
      <c r="C50">
        <v>1</v>
      </c>
      <c r="D50" s="5" t="s">
        <v>9</v>
      </c>
      <c r="E50" t="s">
        <v>10</v>
      </c>
      <c r="F50" t="s">
        <v>11</v>
      </c>
      <c r="G50" t="s">
        <v>10</v>
      </c>
      <c r="H50" t="s">
        <v>22</v>
      </c>
      <c r="I50">
        <v>5.1020000000000003</v>
      </c>
      <c r="J50" s="8">
        <f t="shared" si="7"/>
        <v>0.11543506777437702</v>
      </c>
      <c r="K50" s="8">
        <f t="shared" si="8"/>
        <v>-0.29491431730237661</v>
      </c>
      <c r="L50">
        <f t="shared" si="0"/>
        <v>0.11532406777437702</v>
      </c>
      <c r="M50">
        <f t="shared" si="9"/>
        <v>-0.33106236673935829</v>
      </c>
      <c r="N50" s="15">
        <v>1.11E-4</v>
      </c>
      <c r="O50" s="8">
        <f>(I50 - MAX(I2:I50)) / MAX(I2:I50)</f>
        <v>-0.41884041462581156</v>
      </c>
      <c r="P50" s="15">
        <v>5.79E-2</v>
      </c>
      <c r="Q50">
        <f t="shared" si="10"/>
        <v>1.7983123661238578</v>
      </c>
      <c r="R50">
        <f t="shared" si="11"/>
        <v>-9.2097394020466614E-3</v>
      </c>
      <c r="S50" s="15">
        <f t="shared" si="12"/>
        <v>8.5026172203889069E-2</v>
      </c>
    </row>
    <row r="51" spans="1:19" x14ac:dyDescent="0.3">
      <c r="A51" s="2">
        <v>43497</v>
      </c>
      <c r="B51">
        <v>2019</v>
      </c>
      <c r="C51">
        <v>2</v>
      </c>
      <c r="D51" s="5" t="s">
        <v>9</v>
      </c>
      <c r="E51" t="s">
        <v>10</v>
      </c>
      <c r="F51" t="s">
        <v>11</v>
      </c>
      <c r="G51" t="s">
        <v>10</v>
      </c>
      <c r="H51" t="s">
        <v>22</v>
      </c>
      <c r="I51">
        <v>5.4020000000000001</v>
      </c>
      <c r="J51" s="8">
        <f t="shared" si="7"/>
        <v>5.880047040376319E-2</v>
      </c>
      <c r="K51" s="8">
        <f t="shared" si="8"/>
        <v>-0.2534549474847978</v>
      </c>
      <c r="L51">
        <f t="shared" si="0"/>
        <v>5.8754470403763193E-2</v>
      </c>
      <c r="M51">
        <f t="shared" si="9"/>
        <v>-0.18301263199508647</v>
      </c>
      <c r="N51" s="15">
        <v>4.6E-5</v>
      </c>
      <c r="O51" s="8">
        <f>(I51 - MAX(I2:I51)) / MAX(I2:I51)</f>
        <v>-0.3846679576261533</v>
      </c>
      <c r="P51" s="15">
        <v>4.3899999999999988E-2</v>
      </c>
      <c r="Q51">
        <f t="shared" si="10"/>
        <v>1.7838040205202685</v>
      </c>
      <c r="R51">
        <f t="shared" si="11"/>
        <v>-1.0572212447394076E-2</v>
      </c>
      <c r="S51" s="15">
        <f t="shared" si="12"/>
        <v>8.6014965074211344E-2</v>
      </c>
    </row>
    <row r="52" spans="1:19" x14ac:dyDescent="0.3">
      <c r="A52" s="2">
        <v>43525</v>
      </c>
      <c r="B52">
        <v>2019</v>
      </c>
      <c r="C52">
        <v>3</v>
      </c>
      <c r="D52" s="5" t="s">
        <v>9</v>
      </c>
      <c r="E52" t="s">
        <v>10</v>
      </c>
      <c r="F52" t="s">
        <v>11</v>
      </c>
      <c r="G52" t="s">
        <v>10</v>
      </c>
      <c r="H52" t="s">
        <v>22</v>
      </c>
      <c r="I52">
        <v>5.0259999999999998</v>
      </c>
      <c r="J52" s="8">
        <f t="shared" si="7"/>
        <v>-6.9603850425768291E-2</v>
      </c>
      <c r="K52" s="8">
        <f t="shared" si="8"/>
        <v>-0.30541735765616329</v>
      </c>
      <c r="L52">
        <f t="shared" si="0"/>
        <v>-6.9612850425768286E-2</v>
      </c>
      <c r="M52">
        <f t="shared" si="9"/>
        <v>-0.18487205967753023</v>
      </c>
      <c r="N52" s="15">
        <v>9.0000000000000002E-6</v>
      </c>
      <c r="O52" s="8">
        <f>(I52 - MAX(I2:I52)) / MAX(I2:I52)</f>
        <v>-0.42749743706572502</v>
      </c>
      <c r="P52" s="15">
        <v>1.6199999999999999E-2</v>
      </c>
      <c r="Q52">
        <f t="shared" si="10"/>
        <v>1.6947504392588812</v>
      </c>
      <c r="R52">
        <f t="shared" si="11"/>
        <v>-1.6544398688379668E-2</v>
      </c>
      <c r="S52" s="15">
        <f t="shared" si="12"/>
        <v>8.6164158802132157E-2</v>
      </c>
    </row>
    <row r="53" spans="1:19" x14ac:dyDescent="0.3">
      <c r="A53" s="2">
        <v>43556</v>
      </c>
      <c r="B53">
        <v>2019</v>
      </c>
      <c r="C53">
        <v>4</v>
      </c>
      <c r="D53" s="5" t="s">
        <v>9</v>
      </c>
      <c r="E53" t="s">
        <v>10</v>
      </c>
      <c r="F53" t="s">
        <v>11</v>
      </c>
      <c r="G53" t="s">
        <v>10</v>
      </c>
      <c r="H53" t="s">
        <v>22</v>
      </c>
      <c r="I53">
        <v>5.3470000000000004</v>
      </c>
      <c r="J53" s="8">
        <f t="shared" si="7"/>
        <v>6.3867886987664269E-2</v>
      </c>
      <c r="K53" s="8">
        <f t="shared" si="8"/>
        <v>-0.26105583195135384</v>
      </c>
      <c r="L53">
        <f t="shared" si="0"/>
        <v>6.3900886987664274E-2</v>
      </c>
      <c r="M53">
        <f t="shared" si="9"/>
        <v>-0.16554798676674715</v>
      </c>
      <c r="N53" s="15">
        <v>-3.3000000000000003E-5</v>
      </c>
      <c r="O53" s="8">
        <f>(I53 - MAX(I2:I53)) / MAX(I2:I53)</f>
        <v>-0.3909329080760906</v>
      </c>
      <c r="P53" s="15">
        <v>4.8599999999999997E-2</v>
      </c>
      <c r="Q53">
        <f t="shared" si="10"/>
        <v>1.7571632634099619</v>
      </c>
      <c r="R53">
        <f t="shared" si="11"/>
        <v>-1.4660864535182935E-2</v>
      </c>
      <c r="S53" s="15">
        <f t="shared" si="12"/>
        <v>8.7420346375467015E-2</v>
      </c>
    </row>
    <row r="54" spans="1:19" x14ac:dyDescent="0.3">
      <c r="A54" s="2">
        <v>43586</v>
      </c>
      <c r="B54">
        <v>2019</v>
      </c>
      <c r="C54">
        <v>5</v>
      </c>
      <c r="D54" s="5" t="s">
        <v>9</v>
      </c>
      <c r="E54" t="s">
        <v>10</v>
      </c>
      <c r="F54" t="s">
        <v>11</v>
      </c>
      <c r="G54" t="s">
        <v>10</v>
      </c>
      <c r="H54" t="s">
        <v>22</v>
      </c>
      <c r="I54">
        <v>4.8029999999999999</v>
      </c>
      <c r="J54" s="8">
        <f t="shared" si="7"/>
        <v>-0.10173929306152991</v>
      </c>
      <c r="K54" s="8">
        <f t="shared" si="8"/>
        <v>-0.33623548922056345</v>
      </c>
      <c r="L54">
        <f t="shared" si="0"/>
        <v>-0.10162729306152991</v>
      </c>
      <c r="M54">
        <f t="shared" si="9"/>
        <v>-0.14135772086083695</v>
      </c>
      <c r="N54" s="15">
        <v>-1.12E-4</v>
      </c>
      <c r="O54" s="8">
        <f>(I54 - MAX(I2:I54)) / MAX(I2:I54)</f>
        <v>-0.45289896343547104</v>
      </c>
      <c r="P54" s="15">
        <v>-6.6600000000000006E-2</v>
      </c>
      <c r="Q54">
        <f t="shared" si="10"/>
        <v>1.5874271690935391</v>
      </c>
      <c r="R54">
        <f t="shared" si="11"/>
        <v>-8.1594556391464505E-3</v>
      </c>
      <c r="S54" s="15">
        <f t="shared" si="12"/>
        <v>8.4042017615754999E-2</v>
      </c>
    </row>
    <row r="55" spans="1:19" x14ac:dyDescent="0.3">
      <c r="A55" s="2">
        <v>43617</v>
      </c>
      <c r="B55">
        <v>2019</v>
      </c>
      <c r="C55">
        <v>6</v>
      </c>
      <c r="D55" s="5" t="s">
        <v>9</v>
      </c>
      <c r="E55" t="s">
        <v>10</v>
      </c>
      <c r="F55" t="s">
        <v>11</v>
      </c>
      <c r="G55" t="s">
        <v>10</v>
      </c>
      <c r="H55" t="s">
        <v>22</v>
      </c>
      <c r="I55">
        <v>4.8520000000000003</v>
      </c>
      <c r="J55" s="8">
        <f t="shared" si="7"/>
        <v>1.0201957110139574E-2</v>
      </c>
      <c r="K55" s="8">
        <f t="shared" si="8"/>
        <v>-0.32946379215035893</v>
      </c>
      <c r="L55">
        <f t="shared" si="0"/>
        <v>1.0464957110139573E-2</v>
      </c>
      <c r="M55">
        <f t="shared" si="9"/>
        <v>-0.17321492693554205</v>
      </c>
      <c r="N55" s="15">
        <v>-2.63E-4</v>
      </c>
      <c r="O55" s="8">
        <f>(I55 - MAX(I2:I55)) / MAX(I2:I55)</f>
        <v>-0.44731746212552681</v>
      </c>
      <c r="P55" s="15">
        <v>5.8899999999999987E-2</v>
      </c>
      <c r="Q55">
        <f t="shared" si="10"/>
        <v>1.4365526346520454</v>
      </c>
      <c r="R55">
        <f t="shared" si="11"/>
        <v>-1.8471880413121422E-2</v>
      </c>
      <c r="S55" s="15">
        <f t="shared" si="12"/>
        <v>8.2790063202336908E-2</v>
      </c>
    </row>
    <row r="56" spans="1:19" x14ac:dyDescent="0.3">
      <c r="A56" s="2">
        <v>43647</v>
      </c>
      <c r="B56">
        <v>2019</v>
      </c>
      <c r="C56">
        <v>7</v>
      </c>
      <c r="D56" s="5" t="s">
        <v>9</v>
      </c>
      <c r="E56" t="s">
        <v>10</v>
      </c>
      <c r="F56" t="s">
        <v>11</v>
      </c>
      <c r="G56" t="s">
        <v>10</v>
      </c>
      <c r="H56" t="s">
        <v>22</v>
      </c>
      <c r="I56">
        <v>4.5389999999999997</v>
      </c>
      <c r="J56" s="8">
        <f t="shared" si="7"/>
        <v>-6.4509480626545879E-2</v>
      </c>
      <c r="K56" s="8">
        <f t="shared" si="8"/>
        <v>-0.37271973466003283</v>
      </c>
      <c r="L56">
        <f t="shared" si="0"/>
        <v>-6.4185480626545874E-2</v>
      </c>
      <c r="M56">
        <f t="shared" si="9"/>
        <v>-0.2739742267828757</v>
      </c>
      <c r="N56" s="15">
        <v>-3.2400000000000001E-4</v>
      </c>
      <c r="O56" s="8">
        <f>(I56 - MAX(I2:I56)) / MAX(I2:I56)</f>
        <v>-0.48297072559517035</v>
      </c>
      <c r="P56" s="15">
        <v>-2E-3</v>
      </c>
      <c r="Q56">
        <f t="shared" si="10"/>
        <v>1.4420440252123279</v>
      </c>
      <c r="R56">
        <f t="shared" si="11"/>
        <v>-2.1946653052365234E-2</v>
      </c>
      <c r="S56" s="15">
        <f t="shared" si="12"/>
        <v>8.2401418534126927E-2</v>
      </c>
    </row>
    <row r="57" spans="1:19" x14ac:dyDescent="0.3">
      <c r="A57" s="2">
        <v>43678</v>
      </c>
      <c r="B57">
        <v>2019</v>
      </c>
      <c r="C57">
        <v>8</v>
      </c>
      <c r="D57" s="5" t="s">
        <v>9</v>
      </c>
      <c r="E57" t="s">
        <v>10</v>
      </c>
      <c r="F57" t="s">
        <v>11</v>
      </c>
      <c r="G57" t="s">
        <v>10</v>
      </c>
      <c r="H57" t="s">
        <v>22</v>
      </c>
      <c r="I57">
        <v>4.2519999999999998</v>
      </c>
      <c r="J57" s="8">
        <f t="shared" si="7"/>
        <v>-6.322978629654108E-2</v>
      </c>
      <c r="K57" s="8">
        <f t="shared" si="8"/>
        <v>-0.41238253178551654</v>
      </c>
      <c r="L57">
        <f t="shared" si="0"/>
        <v>-6.268878629654108E-2</v>
      </c>
      <c r="M57">
        <f t="shared" si="9"/>
        <v>-0.21065508910537273</v>
      </c>
      <c r="N57" s="15">
        <v>-5.4100000000000003E-4</v>
      </c>
      <c r="O57" s="8">
        <f>(I57 - MAX(I2:I57)) / MAX(I2:I57)</f>
        <v>-0.51566237612484345</v>
      </c>
      <c r="P57" s="15">
        <v>-1.1599999999999999E-2</v>
      </c>
      <c r="Q57">
        <f t="shared" si="10"/>
        <v>1.3369682005180183</v>
      </c>
      <c r="R57">
        <f t="shared" si="11"/>
        <v>-1.8035740419343544E-2</v>
      </c>
      <c r="S57" s="15">
        <f t="shared" si="12"/>
        <v>7.4221338148995925E-2</v>
      </c>
    </row>
    <row r="58" spans="1:19" x14ac:dyDescent="0.3">
      <c r="A58" s="2">
        <v>43709</v>
      </c>
      <c r="B58">
        <v>2019</v>
      </c>
      <c r="C58">
        <v>9</v>
      </c>
      <c r="D58" s="5" t="s">
        <v>9</v>
      </c>
      <c r="E58" t="s">
        <v>10</v>
      </c>
      <c r="F58" t="s">
        <v>11</v>
      </c>
      <c r="G58" t="s">
        <v>10</v>
      </c>
      <c r="H58" t="s">
        <v>22</v>
      </c>
      <c r="I58">
        <v>4.718</v>
      </c>
      <c r="J58" s="8">
        <f t="shared" si="7"/>
        <v>0.1095954844778928</v>
      </c>
      <c r="K58" s="8">
        <f t="shared" si="8"/>
        <v>-0.34798231066887741</v>
      </c>
      <c r="L58">
        <f t="shared" si="0"/>
        <v>0.1100914844778928</v>
      </c>
      <c r="M58">
        <f t="shared" si="9"/>
        <v>-0.10113976214790293</v>
      </c>
      <c r="N58" s="15">
        <v>-4.9600000000000002E-4</v>
      </c>
      <c r="O58" s="8">
        <f>(I58 - MAX(I2:I58)) / MAX(I2:I58)</f>
        <v>-0.46258115958537421</v>
      </c>
      <c r="P58" s="15">
        <v>4.1599999999999998E-2</v>
      </c>
      <c r="Q58">
        <f t="shared" si="10"/>
        <v>1.4496799648316305</v>
      </c>
      <c r="R58">
        <f t="shared" si="11"/>
        <v>-1.5802779607216867E-2</v>
      </c>
      <c r="S58" s="15">
        <f t="shared" si="12"/>
        <v>8.2128772430030264E-2</v>
      </c>
    </row>
    <row r="59" spans="1:19" x14ac:dyDescent="0.3">
      <c r="A59" s="2">
        <v>43739</v>
      </c>
      <c r="B59">
        <v>2019</v>
      </c>
      <c r="C59">
        <v>10</v>
      </c>
      <c r="D59" s="5" t="s">
        <v>9</v>
      </c>
      <c r="E59" t="s">
        <v>10</v>
      </c>
      <c r="F59" t="s">
        <v>11</v>
      </c>
      <c r="G59" t="s">
        <v>10</v>
      </c>
      <c r="H59" t="s">
        <v>22</v>
      </c>
      <c r="I59">
        <v>4.6609999999999996</v>
      </c>
      <c r="J59" s="8">
        <f t="shared" si="7"/>
        <v>-1.2081390419669432E-2</v>
      </c>
      <c r="K59" s="8">
        <f t="shared" si="8"/>
        <v>-0.35585959093421737</v>
      </c>
      <c r="L59">
        <f t="shared" si="0"/>
        <v>-1.1690390419669431E-2</v>
      </c>
      <c r="M59">
        <f t="shared" si="9"/>
        <v>-9.3229207669950876E-4</v>
      </c>
      <c r="N59" s="15">
        <v>-3.9100000000000002E-4</v>
      </c>
      <c r="O59" s="8">
        <f>(I59 - MAX(I2:I59)) / MAX(I2:I59)</f>
        <v>-0.46907392641530932</v>
      </c>
      <c r="P59" s="15">
        <v>9.7999999999999997E-3</v>
      </c>
      <c r="Q59">
        <f t="shared" si="10"/>
        <v>1.4204057741141891</v>
      </c>
      <c r="R59">
        <f t="shared" si="11"/>
        <v>-1.5680364587047513E-2</v>
      </c>
      <c r="S59" s="15">
        <f t="shared" si="12"/>
        <v>7.5704384803755284E-2</v>
      </c>
    </row>
    <row r="60" spans="1:19" x14ac:dyDescent="0.3">
      <c r="A60" s="2">
        <v>43770</v>
      </c>
      <c r="B60">
        <v>2019</v>
      </c>
      <c r="C60">
        <v>11</v>
      </c>
      <c r="D60" s="5" t="s">
        <v>9</v>
      </c>
      <c r="E60" t="s">
        <v>10</v>
      </c>
      <c r="F60" t="s">
        <v>11</v>
      </c>
      <c r="G60" t="s">
        <v>10</v>
      </c>
      <c r="H60" t="s">
        <v>22</v>
      </c>
      <c r="I60">
        <v>4.7190000000000003</v>
      </c>
      <c r="J60" s="8">
        <f t="shared" si="7"/>
        <v>1.244368161338784E-2</v>
      </c>
      <c r="K60" s="8">
        <f t="shared" si="8"/>
        <v>-0.34784411276948535</v>
      </c>
      <c r="L60">
        <f t="shared" si="0"/>
        <v>1.2737681613387841E-2</v>
      </c>
      <c r="M60">
        <f t="shared" si="9"/>
        <v>-1.6613908501037528E-2</v>
      </c>
      <c r="N60" s="15">
        <v>-2.9399999999999999E-4</v>
      </c>
      <c r="O60" s="8">
        <f>(I60 - MAX(I2:I60)) / MAX(I2:I60)</f>
        <v>-0.46246725139537531</v>
      </c>
      <c r="P60" s="15">
        <v>2.75E-2</v>
      </c>
      <c r="Q60">
        <f t="shared" si="10"/>
        <v>1.4709043324959397</v>
      </c>
      <c r="R60">
        <f t="shared" si="11"/>
        <v>-2.1786965993742601E-2</v>
      </c>
      <c r="S60" s="15">
        <f t="shared" si="12"/>
        <v>7.5338720427443273E-2</v>
      </c>
    </row>
    <row r="61" spans="1:19" x14ac:dyDescent="0.3">
      <c r="A61" s="2">
        <v>43800</v>
      </c>
      <c r="B61">
        <v>2019</v>
      </c>
      <c r="C61">
        <v>12</v>
      </c>
      <c r="D61" s="5" t="s">
        <v>9</v>
      </c>
      <c r="E61" t="s">
        <v>10</v>
      </c>
      <c r="F61" t="s">
        <v>11</v>
      </c>
      <c r="G61" t="s">
        <v>10</v>
      </c>
      <c r="H61" t="s">
        <v>22</v>
      </c>
      <c r="I61">
        <v>4.9169999999999998</v>
      </c>
      <c r="J61" s="8">
        <f t="shared" si="7"/>
        <v>4.1958041958041849E-2</v>
      </c>
      <c r="K61" s="8">
        <f t="shared" si="8"/>
        <v>-0.32048092868988343</v>
      </c>
      <c r="L61">
        <f t="shared" si="0"/>
        <v>4.2208041958041849E-2</v>
      </c>
      <c r="M61">
        <f t="shared" si="9"/>
        <v>0.11945596226861499</v>
      </c>
      <c r="N61" s="15">
        <v>-2.5000000000000001E-4</v>
      </c>
      <c r="O61" s="8">
        <f>(I61 - MAX(I2:I61)) / MAX(I2:I61)</f>
        <v>-0.43991342977560088</v>
      </c>
      <c r="P61" s="15">
        <v>1.21E-2</v>
      </c>
      <c r="Q61">
        <f t="shared" si="10"/>
        <v>1.62439986562723</v>
      </c>
      <c r="R61">
        <f t="shared" si="11"/>
        <v>-2.3690968800955364E-2</v>
      </c>
      <c r="S61" s="15">
        <f t="shared" si="12"/>
        <v>7.2325669592837649E-2</v>
      </c>
    </row>
    <row r="62" spans="1:19" x14ac:dyDescent="0.3">
      <c r="A62" s="2">
        <v>43831</v>
      </c>
      <c r="B62">
        <v>2020</v>
      </c>
      <c r="C62">
        <v>1</v>
      </c>
      <c r="D62" s="5" t="s">
        <v>9</v>
      </c>
      <c r="E62" t="s">
        <v>10</v>
      </c>
      <c r="F62" t="s">
        <v>11</v>
      </c>
      <c r="G62" t="s">
        <v>10</v>
      </c>
      <c r="H62" t="s">
        <v>22</v>
      </c>
      <c r="I62">
        <v>4.6070000000000002</v>
      </c>
      <c r="J62" s="8">
        <f t="shared" si="7"/>
        <v>-6.3046573113687124E-2</v>
      </c>
      <c r="K62" s="8">
        <f t="shared" si="8"/>
        <v>-0.36332227750138146</v>
      </c>
      <c r="L62">
        <f t="shared" si="0"/>
        <v>-6.2785573113687126E-2</v>
      </c>
      <c r="M62">
        <f t="shared" si="9"/>
        <v>-9.337044297746766E-2</v>
      </c>
      <c r="N62" s="15">
        <v>-2.61E-4</v>
      </c>
      <c r="O62" s="8">
        <f>(I62 - MAX(I2:I62)) / MAX(I2:I62)</f>
        <v>-0.47522496867524772</v>
      </c>
      <c r="P62" s="15">
        <v>-2.87E-2</v>
      </c>
      <c r="Q62">
        <f t="shared" si="10"/>
        <v>1.4608790104272786</v>
      </c>
      <c r="R62">
        <f t="shared" si="11"/>
        <v>-2.4781466431179931E-2</v>
      </c>
      <c r="S62" s="15">
        <f t="shared" si="12"/>
        <v>6.6431489647830785E-2</v>
      </c>
    </row>
    <row r="63" spans="1:19" x14ac:dyDescent="0.3">
      <c r="A63" s="2">
        <v>43862</v>
      </c>
      <c r="B63">
        <v>2020</v>
      </c>
      <c r="C63">
        <v>2</v>
      </c>
      <c r="D63" s="5" t="s">
        <v>9</v>
      </c>
      <c r="E63" t="s">
        <v>10</v>
      </c>
      <c r="F63" t="s">
        <v>11</v>
      </c>
      <c r="G63" t="s">
        <v>10</v>
      </c>
      <c r="H63" t="s">
        <v>22</v>
      </c>
      <c r="I63">
        <v>4.2770000000000001</v>
      </c>
      <c r="J63" s="8">
        <f t="shared" si="7"/>
        <v>-7.1630128065986551E-2</v>
      </c>
      <c r="K63" s="8">
        <f t="shared" si="8"/>
        <v>-0.40892758430071818</v>
      </c>
      <c r="L63">
        <f t="shared" si="0"/>
        <v>-7.1242128065986551E-2</v>
      </c>
      <c r="M63">
        <f t="shared" si="9"/>
        <v>-0.26029193257196004</v>
      </c>
      <c r="N63" s="15">
        <v>-3.88E-4</v>
      </c>
      <c r="O63" s="8">
        <f>(I63 - MAX(I2:I63)) / MAX(I2:I63)</f>
        <v>-0.5128146713748718</v>
      </c>
      <c r="P63" s="15">
        <v>-8.5500000000000007E-2</v>
      </c>
      <c r="Q63">
        <f t="shared" si="10"/>
        <v>1.1067605896826069</v>
      </c>
      <c r="R63">
        <f t="shared" si="11"/>
        <v>-1.9216474770421457E-2</v>
      </c>
      <c r="S63" s="15">
        <f t="shared" si="12"/>
        <v>6.5448772538658939E-2</v>
      </c>
    </row>
    <row r="64" spans="1:19" x14ac:dyDescent="0.3">
      <c r="A64" s="2">
        <v>43891</v>
      </c>
      <c r="B64">
        <v>2020</v>
      </c>
      <c r="C64">
        <v>3</v>
      </c>
      <c r="D64" s="5" t="s">
        <v>9</v>
      </c>
      <c r="E64" t="s">
        <v>10</v>
      </c>
      <c r="F64" t="s">
        <v>11</v>
      </c>
      <c r="G64" t="s">
        <v>10</v>
      </c>
      <c r="H64" t="s">
        <v>22</v>
      </c>
      <c r="I64">
        <v>2.8769999999999998</v>
      </c>
      <c r="J64" s="8">
        <f t="shared" si="7"/>
        <v>-0.32733224222585933</v>
      </c>
      <c r="K64" s="8">
        <f t="shared" si="8"/>
        <v>-0.60240464344941924</v>
      </c>
      <c r="L64">
        <f t="shared" si="0"/>
        <v>-0.32688124222585935</v>
      </c>
      <c r="M64">
        <f t="shared" si="9"/>
        <v>-0.34735186262229223</v>
      </c>
      <c r="N64" s="15">
        <v>-4.5100000000000001E-4</v>
      </c>
      <c r="O64" s="8">
        <f>(I64 - MAX(I2:I64)) / MAX(I2:I64)</f>
        <v>-0.67228613737327714</v>
      </c>
      <c r="P64" s="15">
        <v>-0.16300000000000001</v>
      </c>
      <c r="Q64">
        <f t="shared" si="10"/>
        <v>1.5690683159539771</v>
      </c>
      <c r="R64">
        <f t="shared" si="11"/>
        <v>-1.8195135177624569E-2</v>
      </c>
      <c r="S64" s="15">
        <f t="shared" si="12"/>
        <v>0.11076612587621266</v>
      </c>
    </row>
    <row r="65" spans="1:19" x14ac:dyDescent="0.3">
      <c r="A65" s="2">
        <v>43922</v>
      </c>
      <c r="B65">
        <v>2020</v>
      </c>
      <c r="C65">
        <v>4</v>
      </c>
      <c r="D65" s="5" t="s">
        <v>9</v>
      </c>
      <c r="E65" t="s">
        <v>10</v>
      </c>
      <c r="F65" t="s">
        <v>11</v>
      </c>
      <c r="G65" t="s">
        <v>10</v>
      </c>
      <c r="H65" t="s">
        <v>22</v>
      </c>
      <c r="I65">
        <v>2.948</v>
      </c>
      <c r="J65" s="8">
        <f t="shared" si="7"/>
        <v>2.4678484532499195E-2</v>
      </c>
      <c r="K65" s="8">
        <f t="shared" si="8"/>
        <v>-0.59259259259259223</v>
      </c>
      <c r="L65">
        <f t="shared" si="0"/>
        <v>2.5053484532499195E-2</v>
      </c>
      <c r="M65">
        <f t="shared" si="9"/>
        <v>-0.38619615166214455</v>
      </c>
      <c r="N65" s="15">
        <v>-3.7500000000000001E-4</v>
      </c>
      <c r="O65" s="8">
        <f>(I65 - MAX(I2:I65)) / MAX(I2:I65)</f>
        <v>-0.66419865588335791</v>
      </c>
      <c r="P65" s="15">
        <v>5.0599999999999999E-2</v>
      </c>
      <c r="Q65">
        <f t="shared" si="10"/>
        <v>1.5107017193818049</v>
      </c>
      <c r="R65">
        <f t="shared" si="11"/>
        <v>-2.2481626139617485E-2</v>
      </c>
      <c r="S65" s="15">
        <f t="shared" si="12"/>
        <v>0.10800755910426346</v>
      </c>
    </row>
    <row r="66" spans="1:19" x14ac:dyDescent="0.3">
      <c r="A66" s="2">
        <v>43952</v>
      </c>
      <c r="B66">
        <v>2020</v>
      </c>
      <c r="C66">
        <v>5</v>
      </c>
      <c r="D66" s="5" t="s">
        <v>9</v>
      </c>
      <c r="E66" t="s">
        <v>10</v>
      </c>
      <c r="F66" t="s">
        <v>11</v>
      </c>
      <c r="G66" t="s">
        <v>10</v>
      </c>
      <c r="H66" t="s">
        <v>22</v>
      </c>
      <c r="I66">
        <v>2.7559999999999998</v>
      </c>
      <c r="J66" s="8">
        <f t="shared" si="7"/>
        <v>-6.5128900949796537E-2</v>
      </c>
      <c r="K66" s="8">
        <f t="shared" si="8"/>
        <v>-0.61912658927584263</v>
      </c>
      <c r="L66">
        <f t="shared" ref="L66:L129" si="13">J66-N66</f>
        <v>-6.4698900949796537E-2</v>
      </c>
      <c r="M66">
        <f t="shared" si="9"/>
        <v>-0.36216436173814798</v>
      </c>
      <c r="N66" s="15">
        <v>-4.2999999999999999E-4</v>
      </c>
      <c r="O66" s="8">
        <f>(I66 - MAX(I2:I66)) / MAX(I2:I66)</f>
        <v>-0.68606902836313932</v>
      </c>
      <c r="P66" s="15">
        <v>4.1799999999999997E-2</v>
      </c>
      <c r="Q66">
        <f t="shared" si="10"/>
        <v>1.4324543363765989</v>
      </c>
      <c r="R66">
        <f t="shared" si="11"/>
        <v>-3.337810773745372E-2</v>
      </c>
      <c r="S66" s="15">
        <f t="shared" si="12"/>
        <v>0.10667735909120382</v>
      </c>
    </row>
    <row r="67" spans="1:19" x14ac:dyDescent="0.3">
      <c r="A67" s="2">
        <v>43983</v>
      </c>
      <c r="B67">
        <v>2020</v>
      </c>
      <c r="C67">
        <v>6</v>
      </c>
      <c r="D67" s="5" t="s">
        <v>9</v>
      </c>
      <c r="E67" t="s">
        <v>10</v>
      </c>
      <c r="F67" t="s">
        <v>11</v>
      </c>
      <c r="G67" t="s">
        <v>10</v>
      </c>
      <c r="H67" t="s">
        <v>22</v>
      </c>
      <c r="I67">
        <v>3.024</v>
      </c>
      <c r="J67" s="8">
        <f t="shared" ref="J67:J98" si="14">(I67-I66)/I66</f>
        <v>9.7242380261248276E-2</v>
      </c>
      <c r="K67" s="8">
        <f t="shared" ref="K67:K98" si="15">(K66+1)*(J67+1)-1</f>
        <v>-0.58208955223880543</v>
      </c>
      <c r="L67">
        <f t="shared" si="13"/>
        <v>9.7604380261248277E-2</v>
      </c>
      <c r="M67">
        <f t="shared" si="9"/>
        <v>-0.27740858460033579</v>
      </c>
      <c r="N67" s="15">
        <v>-3.6200000000000002E-4</v>
      </c>
      <c r="O67" s="8">
        <f>(I67 - MAX(I2:I67)) / MAX(I2:I67)</f>
        <v>-0.65554163344344463</v>
      </c>
      <c r="P67" s="15">
        <v>6.0299999999999999E-2</v>
      </c>
      <c r="Q67">
        <f t="shared" si="10"/>
        <v>1.55167093690927</v>
      </c>
      <c r="R67">
        <f t="shared" si="11"/>
        <v>-2.5872833517642191E-2</v>
      </c>
      <c r="S67" s="15">
        <f t="shared" si="12"/>
        <v>0.11309354076569321</v>
      </c>
    </row>
    <row r="68" spans="1:19" x14ac:dyDescent="0.3">
      <c r="A68" s="2">
        <v>44013</v>
      </c>
      <c r="B68">
        <v>2020</v>
      </c>
      <c r="C68">
        <v>7</v>
      </c>
      <c r="D68" s="5" t="s">
        <v>9</v>
      </c>
      <c r="E68" t="s">
        <v>10</v>
      </c>
      <c r="F68" t="s">
        <v>11</v>
      </c>
      <c r="G68" t="s">
        <v>10</v>
      </c>
      <c r="H68" t="s">
        <v>22</v>
      </c>
      <c r="I68">
        <v>2.6019999999999999</v>
      </c>
      <c r="J68" s="8">
        <f t="shared" si="14"/>
        <v>-0.13955026455026459</v>
      </c>
      <c r="K68" s="8">
        <f t="shared" si="15"/>
        <v>-0.64040906578219969</v>
      </c>
      <c r="L68">
        <f t="shared" si="13"/>
        <v>-0.1391142645502646</v>
      </c>
      <c r="M68">
        <f t="shared" si="9"/>
        <v>-0.32131112057002131</v>
      </c>
      <c r="N68" s="15">
        <v>-4.3600000000000003E-4</v>
      </c>
      <c r="O68" s="8">
        <f>(I68 - MAX(I2:I68)) / MAX(I2:I68)</f>
        <v>-0.70361088962296381</v>
      </c>
      <c r="P68" s="15">
        <v>-1.8499999999999999E-2</v>
      </c>
      <c r="Q68">
        <f t="shared" si="10"/>
        <v>1.5789658569066292</v>
      </c>
      <c r="R68">
        <f t="shared" si="11"/>
        <v>-2.9863804138375961E-2</v>
      </c>
      <c r="S68" s="15">
        <f t="shared" si="12"/>
        <v>0.11707401950948106</v>
      </c>
    </row>
    <row r="69" spans="1:19" x14ac:dyDescent="0.3">
      <c r="A69" s="2">
        <v>44044</v>
      </c>
      <c r="B69">
        <v>2020</v>
      </c>
      <c r="C69">
        <v>8</v>
      </c>
      <c r="D69" s="5" t="s">
        <v>9</v>
      </c>
      <c r="E69" t="s">
        <v>10</v>
      </c>
      <c r="F69" t="s">
        <v>11</v>
      </c>
      <c r="G69" t="s">
        <v>10</v>
      </c>
      <c r="H69" t="s">
        <v>22</v>
      </c>
      <c r="I69">
        <v>2.4209999999999998</v>
      </c>
      <c r="J69" s="8">
        <f t="shared" si="14"/>
        <v>-6.9561875480399715E-2</v>
      </c>
      <c r="K69" s="8">
        <f t="shared" si="15"/>
        <v>-0.66542288557213891</v>
      </c>
      <c r="L69">
        <f t="shared" si="13"/>
        <v>-6.9125875480399709E-2</v>
      </c>
      <c r="M69">
        <f t="shared" si="9"/>
        <v>-0.32550877385762395</v>
      </c>
      <c r="N69" s="15">
        <v>-4.3600000000000003E-4</v>
      </c>
      <c r="O69" s="8">
        <f>(I69 - MAX(I2:I69)) / MAX(I2:I69)</f>
        <v>-0.72422827201275775</v>
      </c>
      <c r="P69" s="15">
        <v>3.09E-2</v>
      </c>
      <c r="Q69">
        <f t="shared" si="10"/>
        <v>1.5136174730172154</v>
      </c>
      <c r="R69">
        <f t="shared" si="11"/>
        <v>-3.6068600427801564E-2</v>
      </c>
      <c r="S69" s="15">
        <f t="shared" si="12"/>
        <v>0.1172122276297566</v>
      </c>
    </row>
    <row r="70" spans="1:19" x14ac:dyDescent="0.3">
      <c r="A70" s="2">
        <v>44075</v>
      </c>
      <c r="B70">
        <v>2020</v>
      </c>
      <c r="C70">
        <v>9</v>
      </c>
      <c r="D70" s="5" t="s">
        <v>9</v>
      </c>
      <c r="E70" t="s">
        <v>10</v>
      </c>
      <c r="F70" t="s">
        <v>11</v>
      </c>
      <c r="G70" t="s">
        <v>10</v>
      </c>
      <c r="H70" t="s">
        <v>22</v>
      </c>
      <c r="I70">
        <v>2.3410000000000002</v>
      </c>
      <c r="J70" s="8">
        <f t="shared" si="14"/>
        <v>-3.3044196612969694E-2</v>
      </c>
      <c r="K70" s="8">
        <f t="shared" si="15"/>
        <v>-0.6764787175234932</v>
      </c>
      <c r="L70">
        <f t="shared" si="13"/>
        <v>-3.2607196612969694E-2</v>
      </c>
      <c r="M70">
        <f t="shared" si="9"/>
        <v>-0.46480719513408109</v>
      </c>
      <c r="N70" s="15">
        <v>-4.37E-4</v>
      </c>
      <c r="O70" s="8">
        <f>(I70 - MAX(I2:I70)) / MAX(I2:I70)</f>
        <v>-0.73334092721266653</v>
      </c>
      <c r="P70" s="15">
        <v>-2.41E-2</v>
      </c>
      <c r="Q70">
        <f t="shared" si="10"/>
        <v>1.4091116487711379</v>
      </c>
      <c r="R70">
        <f t="shared" si="11"/>
        <v>-4.0382299548977305E-2</v>
      </c>
      <c r="S70" s="15">
        <f t="shared" si="12"/>
        <v>0.10766865439769779</v>
      </c>
    </row>
    <row r="71" spans="1:19" x14ac:dyDescent="0.3">
      <c r="A71" s="2">
        <v>44105</v>
      </c>
      <c r="B71">
        <v>2020</v>
      </c>
      <c r="C71">
        <v>10</v>
      </c>
      <c r="D71" s="5" t="s">
        <v>9</v>
      </c>
      <c r="E71" t="s">
        <v>10</v>
      </c>
      <c r="F71" t="s">
        <v>11</v>
      </c>
      <c r="G71" t="s">
        <v>10</v>
      </c>
      <c r="H71" t="s">
        <v>22</v>
      </c>
      <c r="I71">
        <v>2.4300000000000002</v>
      </c>
      <c r="J71" s="8">
        <f t="shared" si="14"/>
        <v>3.8017941050832962E-2</v>
      </c>
      <c r="K71" s="8">
        <f t="shared" si="15"/>
        <v>-0.66417910447761153</v>
      </c>
      <c r="L71">
        <f t="shared" si="13"/>
        <v>3.8523941050832962E-2</v>
      </c>
      <c r="M71">
        <f t="shared" si="9"/>
        <v>-0.41604012640513655</v>
      </c>
      <c r="N71" s="15">
        <v>-5.0600000000000005E-4</v>
      </c>
      <c r="O71" s="8">
        <f>(I71 - MAX(I2:I71)) / MAX(I2:I71)</f>
        <v>-0.72320309830276797</v>
      </c>
      <c r="P71" s="15">
        <v>-7.3700000000000002E-2</v>
      </c>
      <c r="Q71">
        <f t="shared" si="10"/>
        <v>1.1783133067403926</v>
      </c>
      <c r="R71">
        <f t="shared" si="11"/>
        <v>-2.9592647733503785E-2</v>
      </c>
      <c r="S71" s="15">
        <f t="shared" si="12"/>
        <v>0.11023128472769969</v>
      </c>
    </row>
    <row r="72" spans="1:19" x14ac:dyDescent="0.3">
      <c r="A72" s="2">
        <v>44136</v>
      </c>
      <c r="B72">
        <v>2020</v>
      </c>
      <c r="C72">
        <v>11</v>
      </c>
      <c r="D72" s="5" t="s">
        <v>9</v>
      </c>
      <c r="E72" t="s">
        <v>10</v>
      </c>
      <c r="F72" t="s">
        <v>11</v>
      </c>
      <c r="G72" t="s">
        <v>10</v>
      </c>
      <c r="H72" t="s">
        <v>22</v>
      </c>
      <c r="I72">
        <v>3.8780000000000001</v>
      </c>
      <c r="J72" s="8">
        <f t="shared" si="14"/>
        <v>0.59588477366255144</v>
      </c>
      <c r="K72" s="8">
        <f t="shared" si="15"/>
        <v>-0.46406854615809778</v>
      </c>
      <c r="L72">
        <f t="shared" si="13"/>
        <v>0.59639677366255139</v>
      </c>
      <c r="M72">
        <f t="shared" si="9"/>
        <v>1.2847279949349815E-2</v>
      </c>
      <c r="N72" s="15">
        <v>-5.1199999999999998E-4</v>
      </c>
      <c r="O72" s="8">
        <f>(I72 - MAX(I2:I72)) / MAX(I2:I72)</f>
        <v>-0.55826403918441736</v>
      </c>
      <c r="P72" s="15">
        <v>0.18060000000000001</v>
      </c>
      <c r="Q72">
        <f t="shared" si="10"/>
        <v>2.0832268757816346</v>
      </c>
      <c r="R72">
        <f t="shared" si="11"/>
        <v>4.9226493119473441E-3</v>
      </c>
      <c r="S72" s="15">
        <f t="shared" si="12"/>
        <v>0.21620296668256475</v>
      </c>
    </row>
    <row r="73" spans="1:19" x14ac:dyDescent="0.3">
      <c r="A73" s="2">
        <v>44166</v>
      </c>
      <c r="B73">
        <v>2020</v>
      </c>
      <c r="C73">
        <v>12</v>
      </c>
      <c r="D73" s="5" t="s">
        <v>9</v>
      </c>
      <c r="E73" t="s">
        <v>10</v>
      </c>
      <c r="F73" t="s">
        <v>11</v>
      </c>
      <c r="G73" t="s">
        <v>10</v>
      </c>
      <c r="H73" t="s">
        <v>22</v>
      </c>
      <c r="I73">
        <v>3.9820000000000002</v>
      </c>
      <c r="J73" s="8">
        <f t="shared" si="14"/>
        <v>2.6817947395564746E-2</v>
      </c>
      <c r="K73" s="8">
        <f t="shared" si="15"/>
        <v>-0.4496959646213371</v>
      </c>
      <c r="L73">
        <f t="shared" si="13"/>
        <v>2.7332947395564747E-2</v>
      </c>
      <c r="M73">
        <f t="shared" si="9"/>
        <v>7.1206671425679156E-3</v>
      </c>
      <c r="N73" s="15">
        <v>-5.1500000000000005E-4</v>
      </c>
      <c r="O73" s="8">
        <f>(I73 - MAX(I2:I73)) / MAX(I2:I73)</f>
        <v>-0.54641758742453583</v>
      </c>
      <c r="P73" s="15">
        <v>2.2599999999999999E-2</v>
      </c>
      <c r="Q73">
        <f t="shared" si="10"/>
        <v>2.074348933490243</v>
      </c>
      <c r="R73">
        <f t="shared" si="11"/>
        <v>1.8130529214096754E-3</v>
      </c>
      <c r="S73" s="15">
        <f t="shared" si="12"/>
        <v>0.21599504576146261</v>
      </c>
    </row>
    <row r="74" spans="1:19" x14ac:dyDescent="0.3">
      <c r="A74" s="2">
        <v>44197</v>
      </c>
      <c r="B74">
        <v>2021</v>
      </c>
      <c r="C74">
        <v>1</v>
      </c>
      <c r="D74" s="5" t="s">
        <v>9</v>
      </c>
      <c r="E74" t="s">
        <v>10</v>
      </c>
      <c r="F74" t="s">
        <v>11</v>
      </c>
      <c r="G74" t="s">
        <v>10</v>
      </c>
      <c r="H74" t="s">
        <v>22</v>
      </c>
      <c r="I74">
        <v>3.7170000000000001</v>
      </c>
      <c r="J74" s="8">
        <f t="shared" si="14"/>
        <v>-6.6549472626820719E-2</v>
      </c>
      <c r="K74" s="8">
        <f t="shared" si="15"/>
        <v>-0.48631840796019843</v>
      </c>
      <c r="L74">
        <f t="shared" si="13"/>
        <v>-6.6063472626820718E-2</v>
      </c>
      <c r="M74">
        <f t="shared" si="9"/>
        <v>5.8533894839920778E-3</v>
      </c>
      <c r="N74" s="15">
        <v>-4.86E-4</v>
      </c>
      <c r="O74" s="8">
        <f>(I74 - MAX(I2:I74)) / MAX(I2:I74)</f>
        <v>-0.57660325777423393</v>
      </c>
      <c r="P74" s="15">
        <v>-2.52E-2</v>
      </c>
      <c r="Q74">
        <f t="shared" si="10"/>
        <v>2.077342151357084</v>
      </c>
      <c r="R74">
        <f t="shared" si="11"/>
        <v>8.9544985330029586E-4</v>
      </c>
      <c r="S74" s="15">
        <f t="shared" si="12"/>
        <v>0.21609198157907467</v>
      </c>
    </row>
    <row r="75" spans="1:19" x14ac:dyDescent="0.3">
      <c r="A75" s="2">
        <v>44228</v>
      </c>
      <c r="B75">
        <v>2021</v>
      </c>
      <c r="C75">
        <v>2</v>
      </c>
      <c r="D75" s="5" t="s">
        <v>9</v>
      </c>
      <c r="E75" t="s">
        <v>10</v>
      </c>
      <c r="F75" t="s">
        <v>11</v>
      </c>
      <c r="G75" t="s">
        <v>10</v>
      </c>
      <c r="H75" t="s">
        <v>22</v>
      </c>
      <c r="I75">
        <v>4.5419999999999998</v>
      </c>
      <c r="J75" s="8">
        <f t="shared" si="14"/>
        <v>0.2219531880548829</v>
      </c>
      <c r="K75" s="8">
        <f t="shared" si="15"/>
        <v>-0.37230514096185674</v>
      </c>
      <c r="L75">
        <f t="shared" si="13"/>
        <v>0.22232418805488291</v>
      </c>
      <c r="M75">
        <f t="shared" si="9"/>
        <v>0.11504969949078156</v>
      </c>
      <c r="N75" s="15">
        <v>-3.7100000000000002E-4</v>
      </c>
      <c r="O75" s="8">
        <f>(I75 - MAX(I2:I75)) / MAX(I2:I75)</f>
        <v>-0.4826290010251737</v>
      </c>
      <c r="P75" s="15">
        <v>4.4499999999999998E-2</v>
      </c>
      <c r="Q75">
        <f t="shared" si="10"/>
        <v>2.266224106539811</v>
      </c>
      <c r="R75">
        <f t="shared" si="11"/>
        <v>7.781693523123967E-4</v>
      </c>
      <c r="S75" s="15">
        <f t="shared" si="12"/>
        <v>0.22363144209125568</v>
      </c>
    </row>
    <row r="76" spans="1:19" x14ac:dyDescent="0.3">
      <c r="A76" s="2">
        <v>44256</v>
      </c>
      <c r="B76">
        <v>2021</v>
      </c>
      <c r="C76">
        <v>3</v>
      </c>
      <c r="D76" s="5" t="s">
        <v>9</v>
      </c>
      <c r="E76" t="s">
        <v>10</v>
      </c>
      <c r="F76" t="s">
        <v>11</v>
      </c>
      <c r="G76" t="s">
        <v>10</v>
      </c>
      <c r="H76" t="s">
        <v>22</v>
      </c>
      <c r="I76">
        <v>4.3680000000000003</v>
      </c>
      <c r="J76" s="8">
        <f t="shared" si="14"/>
        <v>-3.8309114927344672E-2</v>
      </c>
      <c r="K76" s="8">
        <f t="shared" si="15"/>
        <v>-0.39635157545605237</v>
      </c>
      <c r="L76">
        <f t="shared" si="13"/>
        <v>-3.8005114927344673E-2</v>
      </c>
      <c r="M76">
        <f t="shared" si="9"/>
        <v>0.25400368415073071</v>
      </c>
      <c r="N76" s="15">
        <v>-3.0400000000000002E-4</v>
      </c>
      <c r="O76" s="8">
        <f>(I76 - MAX(I2:I76)) / MAX(I2:I76)</f>
        <v>-0.50244902608497544</v>
      </c>
      <c r="P76" s="15">
        <v>7.7800000000000008E-2</v>
      </c>
      <c r="Q76">
        <f t="shared" si="10"/>
        <v>2.2159748958606351</v>
      </c>
      <c r="R76">
        <f t="shared" si="11"/>
        <v>-1.9035672676665442E-2</v>
      </c>
      <c r="S76" s="15">
        <f t="shared" si="12"/>
        <v>0.19606700187838738</v>
      </c>
    </row>
    <row r="77" spans="1:19" x14ac:dyDescent="0.3">
      <c r="A77" s="2">
        <v>44287</v>
      </c>
      <c r="B77">
        <v>2021</v>
      </c>
      <c r="C77">
        <v>4</v>
      </c>
      <c r="D77" s="5" t="s">
        <v>9</v>
      </c>
      <c r="E77" t="s">
        <v>10</v>
      </c>
      <c r="F77" t="s">
        <v>11</v>
      </c>
      <c r="G77" t="s">
        <v>10</v>
      </c>
      <c r="H77" t="s">
        <v>22</v>
      </c>
      <c r="I77">
        <v>4.67</v>
      </c>
      <c r="J77" s="8">
        <f t="shared" si="14"/>
        <v>6.9139194139194046E-2</v>
      </c>
      <c r="K77" s="8">
        <f t="shared" si="15"/>
        <v>-0.35461580983968966</v>
      </c>
      <c r="L77">
        <f t="shared" si="13"/>
        <v>6.941019413919404E-2</v>
      </c>
      <c r="M77">
        <f t="shared" ref="M77:M108" si="16">(AVERAGE(J66:J77)-AVERAGE(N66:N77))/STDEV(J66:J77)</f>
        <v>0.27298024856933267</v>
      </c>
      <c r="N77" s="15">
        <v>-2.7099999999999997E-4</v>
      </c>
      <c r="O77" s="8">
        <f>(I77 - MAX(I2:I77)) / MAX(I2:I77)</f>
        <v>-0.46804875270531954</v>
      </c>
      <c r="P77" s="15">
        <v>1.4200000000000001E-2</v>
      </c>
      <c r="Q77">
        <f t="shared" ref="Q77:Q108" si="17" xml:space="preserve"> _xlfn.COVARIANCE.P(J66:J77, P66:P77) / _xlfn.VAR.P(P66:P77)</f>
        <v>2.2342566143455596</v>
      </c>
      <c r="R77">
        <f t="shared" ref="R77:R108" si="18">AVERAGE(J66:J77)-(AVERAGE(N66:N77)+Q77*(AVERAGE(P66:P77)-AVERAGE(N66:N77)))</f>
        <v>-9.110577938570473E-3</v>
      </c>
      <c r="S77" s="15">
        <f t="shared" ref="S77:S108" si="19">STDEV(J66:J77)</f>
        <v>0.19597803711111911</v>
      </c>
    </row>
    <row r="78" spans="1:19" x14ac:dyDescent="0.3">
      <c r="A78" s="2">
        <v>44317</v>
      </c>
      <c r="B78">
        <v>2021</v>
      </c>
      <c r="C78">
        <v>5</v>
      </c>
      <c r="D78" s="5" t="s">
        <v>9</v>
      </c>
      <c r="E78" t="s">
        <v>10</v>
      </c>
      <c r="F78" t="s">
        <v>11</v>
      </c>
      <c r="G78" t="s">
        <v>10</v>
      </c>
      <c r="H78" t="s">
        <v>22</v>
      </c>
      <c r="I78">
        <v>5.1360000000000001</v>
      </c>
      <c r="J78" s="8">
        <f t="shared" si="14"/>
        <v>9.9785867237687412E-2</v>
      </c>
      <c r="K78" s="8">
        <f t="shared" si="15"/>
        <v>-0.29021558872305053</v>
      </c>
      <c r="L78">
        <f t="shared" si="13"/>
        <v>9.9971867237687417E-2</v>
      </c>
      <c r="M78">
        <f t="shared" si="16"/>
        <v>0.34885388124255545</v>
      </c>
      <c r="N78" s="15">
        <v>-1.8599999999999999E-4</v>
      </c>
      <c r="O78" s="8">
        <f>(I78 - MAX(I2:I78)) / MAX(I2:I78)</f>
        <v>-0.4149675361658503</v>
      </c>
      <c r="P78" s="15">
        <v>1.6299999999999999E-2</v>
      </c>
      <c r="Q78">
        <f t="shared" si="17"/>
        <v>2.2736093800866577</v>
      </c>
      <c r="R78">
        <f t="shared" si="18"/>
        <v>8.3868863067411079E-3</v>
      </c>
      <c r="S78" s="15">
        <f t="shared" si="19"/>
        <v>0.19269012304211353</v>
      </c>
    </row>
    <row r="79" spans="1:19" x14ac:dyDescent="0.3">
      <c r="A79" s="2">
        <v>44348</v>
      </c>
      <c r="B79">
        <v>2021</v>
      </c>
      <c r="C79">
        <v>6</v>
      </c>
      <c r="D79" s="5" t="s">
        <v>9</v>
      </c>
      <c r="E79" t="s">
        <v>10</v>
      </c>
      <c r="F79" t="s">
        <v>11</v>
      </c>
      <c r="G79" t="s">
        <v>10</v>
      </c>
      <c r="H79" t="s">
        <v>22</v>
      </c>
      <c r="I79">
        <v>5.2279999999999998</v>
      </c>
      <c r="J79" s="8">
        <f t="shared" si="14"/>
        <v>1.7912772585669711E-2</v>
      </c>
      <c r="K79" s="8">
        <f t="shared" si="15"/>
        <v>-0.27750138197899299</v>
      </c>
      <c r="L79">
        <f t="shared" si="13"/>
        <v>1.8153772585669713E-2</v>
      </c>
      <c r="M79">
        <f t="shared" si="16"/>
        <v>0.31413164617432576</v>
      </c>
      <c r="N79" s="15">
        <v>-2.41E-4</v>
      </c>
      <c r="O79" s="8">
        <f>(I79 - MAX(I2:I79)) / MAX(I2:I79)</f>
        <v>-0.40448798268595515</v>
      </c>
      <c r="P79" s="15">
        <v>6.1000000000000004E-3</v>
      </c>
      <c r="Q79">
        <f t="shared" si="17"/>
        <v>2.3184968650694913</v>
      </c>
      <c r="R79">
        <f t="shared" si="18"/>
        <v>1.1099712050076267E-2</v>
      </c>
      <c r="S79" s="15">
        <f t="shared" si="19"/>
        <v>0.19291215662414488</v>
      </c>
    </row>
    <row r="80" spans="1:19" x14ac:dyDescent="0.3">
      <c r="A80" s="2">
        <v>44378</v>
      </c>
      <c r="B80">
        <v>2021</v>
      </c>
      <c r="C80">
        <v>7</v>
      </c>
      <c r="D80" s="5" t="s">
        <v>9</v>
      </c>
      <c r="E80" t="s">
        <v>10</v>
      </c>
      <c r="F80" t="s">
        <v>11</v>
      </c>
      <c r="G80" t="s">
        <v>10</v>
      </c>
      <c r="H80" t="s">
        <v>22</v>
      </c>
      <c r="I80">
        <v>5.4109999999999996</v>
      </c>
      <c r="J80" s="8">
        <f t="shared" si="14"/>
        <v>3.5003825554705402E-2</v>
      </c>
      <c r="K80" s="8">
        <f t="shared" si="15"/>
        <v>-0.25221116639026997</v>
      </c>
      <c r="L80">
        <f t="shared" si="13"/>
        <v>3.5379825554705403E-2</v>
      </c>
      <c r="M80">
        <f t="shared" si="16"/>
        <v>0.41106432369232515</v>
      </c>
      <c r="N80" s="15">
        <v>-3.7599999999999998E-4</v>
      </c>
      <c r="O80" s="8">
        <f>(I80 - MAX(I2:I80)) / MAX(I2:I80)</f>
        <v>-0.38364278391616363</v>
      </c>
      <c r="P80" s="15">
        <v>6.1999999999999998E-3</v>
      </c>
      <c r="Q80">
        <f t="shared" si="17"/>
        <v>2.2103027939109032</v>
      </c>
      <c r="R80">
        <f t="shared" si="18"/>
        <v>2.3412350257401814E-2</v>
      </c>
      <c r="S80" s="15">
        <f t="shared" si="19"/>
        <v>0.18279617853442798</v>
      </c>
    </row>
    <row r="81" spans="1:19" x14ac:dyDescent="0.3">
      <c r="A81" s="2">
        <v>44409</v>
      </c>
      <c r="B81">
        <v>2021</v>
      </c>
      <c r="C81">
        <v>8</v>
      </c>
      <c r="D81" s="5" t="s">
        <v>9</v>
      </c>
      <c r="E81" t="s">
        <v>10</v>
      </c>
      <c r="F81" t="s">
        <v>11</v>
      </c>
      <c r="G81" t="s">
        <v>10</v>
      </c>
      <c r="H81" t="s">
        <v>22</v>
      </c>
      <c r="I81">
        <v>5.5469999999999997</v>
      </c>
      <c r="J81" s="8">
        <f t="shared" si="14"/>
        <v>2.5133986324154523E-2</v>
      </c>
      <c r="K81" s="8">
        <f t="shared" si="15"/>
        <v>-0.23341625207296768</v>
      </c>
      <c r="L81">
        <f t="shared" si="13"/>
        <v>2.5582986324154525E-2</v>
      </c>
      <c r="M81">
        <f t="shared" si="16"/>
        <v>0.46653152360514216</v>
      </c>
      <c r="N81" s="15">
        <v>-4.4900000000000002E-4</v>
      </c>
      <c r="O81" s="8">
        <f>(I81 - MAX(I2:I81)) / MAX(I2:I81)</f>
        <v>-0.36815127007631854</v>
      </c>
      <c r="P81" s="15">
        <v>2.6200000000000001E-2</v>
      </c>
      <c r="Q81">
        <f t="shared" si="17"/>
        <v>2.2367830633026462</v>
      </c>
      <c r="R81">
        <f t="shared" si="18"/>
        <v>3.1558676814569073E-2</v>
      </c>
      <c r="S81" s="15">
        <f t="shared" si="19"/>
        <v>0.1779802402451427</v>
      </c>
    </row>
    <row r="82" spans="1:19" x14ac:dyDescent="0.3">
      <c r="A82" s="2">
        <v>44440</v>
      </c>
      <c r="B82">
        <v>2021</v>
      </c>
      <c r="C82">
        <v>9</v>
      </c>
      <c r="D82" s="5" t="s">
        <v>9</v>
      </c>
      <c r="E82" t="s">
        <v>10</v>
      </c>
      <c r="F82" t="s">
        <v>11</v>
      </c>
      <c r="G82" t="s">
        <v>10</v>
      </c>
      <c r="H82" t="s">
        <v>22</v>
      </c>
      <c r="I82">
        <v>5.7169999999999996</v>
      </c>
      <c r="J82" s="8">
        <f t="shared" si="14"/>
        <v>3.0647196682891641E-2</v>
      </c>
      <c r="K82" s="8">
        <f t="shared" si="15"/>
        <v>-0.20992260917633976</v>
      </c>
      <c r="L82">
        <f t="shared" si="13"/>
        <v>3.0949196682891641E-2</v>
      </c>
      <c r="M82">
        <f t="shared" si="16"/>
        <v>0.50432749315019743</v>
      </c>
      <c r="N82" s="15">
        <v>-3.0200000000000002E-4</v>
      </c>
      <c r="O82" s="8">
        <f>(I82 - MAX(I2:I82)) / MAX(I2:I82)</f>
        <v>-0.34878687777651218</v>
      </c>
      <c r="P82" s="15">
        <v>-3.5299999999999998E-2</v>
      </c>
      <c r="Q82">
        <f t="shared" si="17"/>
        <v>2.1248244646659225</v>
      </c>
      <c r="R82">
        <f t="shared" si="18"/>
        <v>4.1438601268800362E-2</v>
      </c>
      <c r="S82" s="15">
        <f t="shared" si="19"/>
        <v>0.17514365161698209</v>
      </c>
    </row>
    <row r="83" spans="1:19" x14ac:dyDescent="0.3">
      <c r="A83" s="2">
        <v>44470</v>
      </c>
      <c r="B83">
        <v>2021</v>
      </c>
      <c r="C83">
        <v>10</v>
      </c>
      <c r="D83" s="5" t="s">
        <v>9</v>
      </c>
      <c r="E83" t="s">
        <v>10</v>
      </c>
      <c r="F83" t="s">
        <v>11</v>
      </c>
      <c r="G83" t="s">
        <v>10</v>
      </c>
      <c r="H83" t="s">
        <v>22</v>
      </c>
      <c r="I83">
        <v>6.0620000000000003</v>
      </c>
      <c r="J83" s="8">
        <f t="shared" si="14"/>
        <v>6.0346335490642063E-2</v>
      </c>
      <c r="K83" s="8">
        <f t="shared" si="15"/>
        <v>-0.16224433388612391</v>
      </c>
      <c r="L83">
        <f t="shared" si="13"/>
        <v>6.0516335490642059E-2</v>
      </c>
      <c r="M83">
        <f t="shared" si="16"/>
        <v>0.51614924984920263</v>
      </c>
      <c r="N83" s="15">
        <v>-1.7000000000000001E-4</v>
      </c>
      <c r="O83" s="8">
        <f>(I83 - MAX(I2:I83)) / MAX(I2:I83)</f>
        <v>-0.30948855222690508</v>
      </c>
      <c r="P83" s="15">
        <v>0.05</v>
      </c>
      <c r="Q83">
        <f t="shared" si="17"/>
        <v>2.5472561124111821</v>
      </c>
      <c r="R83">
        <f t="shared" si="18"/>
        <v>7.7623316741390752E-3</v>
      </c>
      <c r="S83" s="15">
        <f t="shared" si="19"/>
        <v>0.17468292034553301</v>
      </c>
    </row>
    <row r="84" spans="1:19" x14ac:dyDescent="0.3">
      <c r="A84" s="2">
        <v>44501</v>
      </c>
      <c r="B84">
        <v>2021</v>
      </c>
      <c r="C84">
        <v>11</v>
      </c>
      <c r="D84" s="5" t="s">
        <v>9</v>
      </c>
      <c r="E84" t="s">
        <v>10</v>
      </c>
      <c r="F84" t="s">
        <v>11</v>
      </c>
      <c r="G84" t="s">
        <v>10</v>
      </c>
      <c r="H84" t="s">
        <v>22</v>
      </c>
      <c r="I84">
        <v>4.702</v>
      </c>
      <c r="J84" s="8">
        <f t="shared" si="14"/>
        <v>-0.2243483998680304</v>
      </c>
      <c r="K84" s="8">
        <f t="shared" si="15"/>
        <v>-0.35019347705914805</v>
      </c>
      <c r="L84">
        <f t="shared" si="13"/>
        <v>-0.22408739986803039</v>
      </c>
      <c r="M84">
        <f t="shared" si="16"/>
        <v>0.20674192819186335</v>
      </c>
      <c r="N84" s="15">
        <v>-2.61E-4</v>
      </c>
      <c r="O84" s="8">
        <f>(I84 - MAX(I2:I84)) / MAX(I2:I84)</f>
        <v>-0.46440369062535597</v>
      </c>
      <c r="P84" s="15">
        <v>-4.41E-2</v>
      </c>
      <c r="Q84">
        <f t="shared" si="17"/>
        <v>1.51476025526605</v>
      </c>
      <c r="R84">
        <f t="shared" si="18"/>
        <v>1.1839983379673853E-3</v>
      </c>
      <c r="S84" s="15">
        <f t="shared" si="19"/>
        <v>0.10539118678454848</v>
      </c>
    </row>
    <row r="85" spans="1:19" x14ac:dyDescent="0.3">
      <c r="A85" s="2">
        <v>44531</v>
      </c>
      <c r="B85">
        <v>2021</v>
      </c>
      <c r="C85">
        <v>12</v>
      </c>
      <c r="D85" s="5" t="s">
        <v>9</v>
      </c>
      <c r="E85" t="s">
        <v>10</v>
      </c>
      <c r="F85" t="s">
        <v>11</v>
      </c>
      <c r="G85" t="s">
        <v>10</v>
      </c>
      <c r="H85" t="s">
        <v>22</v>
      </c>
      <c r="I85">
        <v>5.25</v>
      </c>
      <c r="J85" s="8">
        <f t="shared" si="14"/>
        <v>0.11654615057422374</v>
      </c>
      <c r="K85" s="8">
        <f t="shared" si="15"/>
        <v>-0.27446102819237073</v>
      </c>
      <c r="L85">
        <f t="shared" si="13"/>
        <v>0.11686615057422374</v>
      </c>
      <c r="M85">
        <f t="shared" si="16"/>
        <v>0.26852131065920126</v>
      </c>
      <c r="N85" s="15">
        <v>-3.2000000000000003E-4</v>
      </c>
      <c r="O85" s="8">
        <f>(I85 - MAX(I2:I85)) / MAX(I2:I85)</f>
        <v>-0.40198200250598015</v>
      </c>
      <c r="P85" s="15">
        <v>5.9800000000000013E-2</v>
      </c>
      <c r="Q85">
        <f t="shared" si="17"/>
        <v>1.5852011794893106</v>
      </c>
      <c r="R85">
        <f t="shared" si="18"/>
        <v>2.7985500537045342E-3</v>
      </c>
      <c r="S85" s="15">
        <f t="shared" si="19"/>
        <v>0.10892944535146283</v>
      </c>
    </row>
    <row r="86" spans="1:19" x14ac:dyDescent="0.3">
      <c r="A86" s="2">
        <v>44562</v>
      </c>
      <c r="B86">
        <v>2022</v>
      </c>
      <c r="C86">
        <v>1</v>
      </c>
      <c r="D86" s="5" t="s">
        <v>9</v>
      </c>
      <c r="E86" t="s">
        <v>10</v>
      </c>
      <c r="F86" t="s">
        <v>11</v>
      </c>
      <c r="G86" t="s">
        <v>10</v>
      </c>
      <c r="H86" t="s">
        <v>22</v>
      </c>
      <c r="I86">
        <v>5.6340000000000003</v>
      </c>
      <c r="J86" s="8">
        <f t="shared" si="14"/>
        <v>7.3142857142857204E-2</v>
      </c>
      <c r="K86" s="8">
        <f t="shared" si="15"/>
        <v>-0.22139303482586981</v>
      </c>
      <c r="L86">
        <f t="shared" si="13"/>
        <v>7.3238857142857203E-2</v>
      </c>
      <c r="M86">
        <f t="shared" si="16"/>
        <v>0.38839689941480765</v>
      </c>
      <c r="N86" s="15">
        <v>-9.6000000000000002E-5</v>
      </c>
      <c r="O86" s="8">
        <f>(I86 - MAX(I2:I86)) / MAX(I2:I86)</f>
        <v>-0.35824125754641756</v>
      </c>
      <c r="P86" s="15">
        <v>-3.0499999999999999E-2</v>
      </c>
      <c r="Q86">
        <f t="shared" si="17"/>
        <v>1.1757939217452922</v>
      </c>
      <c r="R86">
        <f t="shared" si="18"/>
        <v>2.1796139908146012E-2</v>
      </c>
      <c r="S86" s="15">
        <f t="shared" si="19"/>
        <v>0.10519755687422308</v>
      </c>
    </row>
    <row r="87" spans="1:19" x14ac:dyDescent="0.3">
      <c r="A87" s="2">
        <v>44593</v>
      </c>
      <c r="B87">
        <v>2022</v>
      </c>
      <c r="C87">
        <v>2</v>
      </c>
      <c r="D87" s="5" t="s">
        <v>9</v>
      </c>
      <c r="E87" t="s">
        <v>10</v>
      </c>
      <c r="F87" t="s">
        <v>11</v>
      </c>
      <c r="G87" t="s">
        <v>10</v>
      </c>
      <c r="H87" t="s">
        <v>22</v>
      </c>
      <c r="I87">
        <v>5.29</v>
      </c>
      <c r="J87" s="8">
        <f t="shared" si="14"/>
        <v>-6.1057862974795936E-2</v>
      </c>
      <c r="K87" s="8">
        <f t="shared" si="15"/>
        <v>-0.26893311221669358</v>
      </c>
      <c r="L87">
        <f t="shared" si="13"/>
        <v>-6.1182862974795936E-2</v>
      </c>
      <c r="M87">
        <f t="shared" si="16"/>
        <v>0.18793302016159627</v>
      </c>
      <c r="N87" s="15">
        <v>1.25E-4</v>
      </c>
      <c r="O87" s="8">
        <f>(I87 - MAX(I2:I87)) / MAX(I2:I87)</f>
        <v>-0.39742567490602576</v>
      </c>
      <c r="P87" s="15">
        <v>-0.06</v>
      </c>
      <c r="Q87">
        <f t="shared" si="17"/>
        <v>0.94706995023156137</v>
      </c>
      <c r="R87">
        <f t="shared" si="18"/>
        <v>1.0165228904055686E-2</v>
      </c>
      <c r="S87" s="15">
        <f t="shared" si="19"/>
        <v>9.1696591239457212E-2</v>
      </c>
    </row>
    <row r="88" spans="1:19" x14ac:dyDescent="0.3">
      <c r="A88" s="2">
        <v>44621</v>
      </c>
      <c r="B88">
        <v>2022</v>
      </c>
      <c r="C88">
        <v>3</v>
      </c>
      <c r="D88" s="5" t="s">
        <v>9</v>
      </c>
      <c r="E88" t="s">
        <v>10</v>
      </c>
      <c r="F88" t="s">
        <v>11</v>
      </c>
      <c r="G88" t="s">
        <v>10</v>
      </c>
      <c r="H88" t="s">
        <v>22</v>
      </c>
      <c r="I88">
        <v>5.21</v>
      </c>
      <c r="J88" s="8">
        <f t="shared" si="14"/>
        <v>-1.512287334593574E-2</v>
      </c>
      <c r="K88" s="8">
        <f t="shared" si="15"/>
        <v>-0.27998894416804798</v>
      </c>
      <c r="L88">
        <f t="shared" si="13"/>
        <v>-1.5357873345935741E-2</v>
      </c>
      <c r="M88">
        <f t="shared" si="16"/>
        <v>0.21089005072406</v>
      </c>
      <c r="N88" s="15">
        <v>2.3499999999999999E-4</v>
      </c>
      <c r="O88" s="8">
        <f>(I88 - MAX(I2:I88)) / MAX(I2:I88)</f>
        <v>-0.4065383301059346</v>
      </c>
      <c r="P88" s="15">
        <v>-5.5000000000000014E-3</v>
      </c>
      <c r="Q88">
        <f t="shared" si="17"/>
        <v>1.583646658316789</v>
      </c>
      <c r="R88">
        <f t="shared" si="18"/>
        <v>1.8366271652579851E-2</v>
      </c>
      <c r="S88" s="15">
        <f t="shared" si="19"/>
        <v>9.0663771933728654E-2</v>
      </c>
    </row>
    <row r="89" spans="1:19" x14ac:dyDescent="0.3">
      <c r="A89" s="2">
        <v>44652</v>
      </c>
      <c r="B89">
        <v>2022</v>
      </c>
      <c r="C89">
        <v>4</v>
      </c>
      <c r="D89" s="5" t="s">
        <v>9</v>
      </c>
      <c r="E89" t="s">
        <v>10</v>
      </c>
      <c r="F89" t="s">
        <v>11</v>
      </c>
      <c r="G89" t="s">
        <v>10</v>
      </c>
      <c r="H89" t="s">
        <v>22</v>
      </c>
      <c r="I89">
        <v>5.0590000000000002</v>
      </c>
      <c r="J89" s="8">
        <f t="shared" si="14"/>
        <v>-2.8982725527831057E-2</v>
      </c>
      <c r="K89" s="8">
        <f t="shared" si="15"/>
        <v>-0.30085682697622929</v>
      </c>
      <c r="L89">
        <f t="shared" si="13"/>
        <v>-2.9604725527831059E-2</v>
      </c>
      <c r="M89">
        <f t="shared" si="16"/>
        <v>0.12056824250603235</v>
      </c>
      <c r="N89" s="15">
        <v>6.2200000000000005E-4</v>
      </c>
      <c r="O89" s="8">
        <f>(I89 - MAX(I2:I89)) / MAX(I2:I89)</f>
        <v>-0.4237384667957626</v>
      </c>
      <c r="P89" s="15">
        <v>-2.5499999999999998E-2</v>
      </c>
      <c r="Q89">
        <f t="shared" si="17"/>
        <v>1.5624597633841497</v>
      </c>
      <c r="R89">
        <f t="shared" si="18"/>
        <v>1.5410524073570093E-2</v>
      </c>
      <c r="S89" s="15">
        <f t="shared" si="19"/>
        <v>9.0146824159018674E-2</v>
      </c>
    </row>
    <row r="90" spans="1:19" x14ac:dyDescent="0.3">
      <c r="A90" s="2">
        <v>44682</v>
      </c>
      <c r="B90">
        <v>2022</v>
      </c>
      <c r="C90">
        <v>5</v>
      </c>
      <c r="D90" s="5" t="s">
        <v>9</v>
      </c>
      <c r="E90" t="s">
        <v>10</v>
      </c>
      <c r="F90" t="s">
        <v>11</v>
      </c>
      <c r="G90" t="s">
        <v>10</v>
      </c>
      <c r="H90" t="s">
        <v>22</v>
      </c>
      <c r="I90">
        <v>5.0789999999999997</v>
      </c>
      <c r="J90" s="8">
        <f t="shared" si="14"/>
        <v>3.953350464518595E-3</v>
      </c>
      <c r="K90" s="8">
        <f t="shared" si="15"/>
        <v>-0.29809286898839071</v>
      </c>
      <c r="L90">
        <f t="shared" si="13"/>
        <v>3.159350464518595E-3</v>
      </c>
      <c r="M90">
        <f t="shared" si="16"/>
        <v>3.269442372677752E-2</v>
      </c>
      <c r="N90" s="15">
        <v>7.94E-4</v>
      </c>
      <c r="O90" s="8">
        <f>(I90 - MAX(I2:I90)) / MAX(I2:I90)</f>
        <v>-0.42146030299578541</v>
      </c>
      <c r="P90" s="15">
        <v>-3.5999999999999999E-3</v>
      </c>
      <c r="Q90">
        <f t="shared" si="17"/>
        <v>1.479664327587805</v>
      </c>
      <c r="R90">
        <f t="shared" si="18"/>
        <v>9.6767646394744413E-3</v>
      </c>
      <c r="S90" s="15">
        <f t="shared" si="19"/>
        <v>8.5676213432127696E-2</v>
      </c>
    </row>
    <row r="91" spans="1:19" x14ac:dyDescent="0.3">
      <c r="A91" s="2">
        <v>44713</v>
      </c>
      <c r="B91">
        <v>2022</v>
      </c>
      <c r="C91">
        <v>6</v>
      </c>
      <c r="D91" s="5" t="s">
        <v>9</v>
      </c>
      <c r="E91" t="s">
        <v>10</v>
      </c>
      <c r="F91" t="s">
        <v>11</v>
      </c>
      <c r="G91" t="s">
        <v>10</v>
      </c>
      <c r="H91" t="s">
        <v>22</v>
      </c>
      <c r="I91">
        <v>4.3310000000000004</v>
      </c>
      <c r="J91" s="8">
        <f t="shared" si="14"/>
        <v>-0.14727308525300242</v>
      </c>
      <c r="K91" s="8">
        <f t="shared" si="15"/>
        <v>-0.40146489773355376</v>
      </c>
      <c r="L91">
        <f t="shared" si="13"/>
        <v>-0.14847708525300243</v>
      </c>
      <c r="M91">
        <f t="shared" si="16"/>
        <v>-0.11582308005168396</v>
      </c>
      <c r="N91" s="15">
        <v>1.204E-3</v>
      </c>
      <c r="O91" s="8">
        <f>(I91 - MAX(I2:I91)) / MAX(I2:I91)</f>
        <v>-0.50666362911493334</v>
      </c>
      <c r="P91" s="15">
        <v>-8.8200000000000001E-2</v>
      </c>
      <c r="Q91">
        <f t="shared" si="17"/>
        <v>1.5752262096139995</v>
      </c>
      <c r="R91">
        <f t="shared" si="18"/>
        <v>8.8032481148480109E-3</v>
      </c>
      <c r="S91" s="15">
        <f t="shared" si="19"/>
        <v>9.5704331033911003E-2</v>
      </c>
    </row>
    <row r="92" spans="1:19" x14ac:dyDescent="0.3">
      <c r="A92" s="2">
        <v>44743</v>
      </c>
      <c r="B92">
        <v>2022</v>
      </c>
      <c r="C92">
        <v>7</v>
      </c>
      <c r="D92" s="5" t="s">
        <v>9</v>
      </c>
      <c r="E92" t="s">
        <v>10</v>
      </c>
      <c r="F92" t="s">
        <v>11</v>
      </c>
      <c r="G92" t="s">
        <v>10</v>
      </c>
      <c r="H92" t="s">
        <v>22</v>
      </c>
      <c r="I92">
        <v>4.4169999999999998</v>
      </c>
      <c r="J92" s="8">
        <f t="shared" si="14"/>
        <v>1.985684599399663E-2</v>
      </c>
      <c r="K92" s="8">
        <f t="shared" si="15"/>
        <v>-0.38957987838584784</v>
      </c>
      <c r="L92">
        <f t="shared" si="13"/>
        <v>1.8954845993996629E-2</v>
      </c>
      <c r="M92">
        <f t="shared" si="16"/>
        <v>-0.13089589010698552</v>
      </c>
      <c r="N92" s="15">
        <v>9.0200000000000002E-4</v>
      </c>
      <c r="O92" s="8">
        <f>(I92 - MAX(I2:I92)) / MAX(I2:I92)</f>
        <v>-0.49686752477503132</v>
      </c>
      <c r="P92" s="15">
        <v>7.3300000000000004E-2</v>
      </c>
      <c r="Q92">
        <f t="shared" si="17"/>
        <v>1.2656066832689665</v>
      </c>
      <c r="R92">
        <f t="shared" si="18"/>
        <v>-3.4166651039244239E-3</v>
      </c>
      <c r="S92" s="15">
        <f t="shared" si="19"/>
        <v>9.5140639489754764E-2</v>
      </c>
    </row>
    <row r="93" spans="1:19" x14ac:dyDescent="0.3">
      <c r="A93" s="2">
        <v>44774</v>
      </c>
      <c r="B93">
        <v>2022</v>
      </c>
      <c r="C93">
        <v>8</v>
      </c>
      <c r="D93" s="5" t="s">
        <v>9</v>
      </c>
      <c r="E93" t="s">
        <v>10</v>
      </c>
      <c r="F93" t="s">
        <v>11</v>
      </c>
      <c r="G93" t="s">
        <v>10</v>
      </c>
      <c r="H93" t="s">
        <v>22</v>
      </c>
      <c r="I93">
        <v>4.4909999999999997</v>
      </c>
      <c r="J93" s="8">
        <f t="shared" si="14"/>
        <v>1.6753452569617352E-2</v>
      </c>
      <c r="K93" s="8">
        <f t="shared" si="15"/>
        <v>-0.37935323383084507</v>
      </c>
      <c r="L93">
        <f t="shared" si="13"/>
        <v>1.589145256961735E-2</v>
      </c>
      <c r="M93">
        <f t="shared" si="16"/>
        <v>-0.13978001512870983</v>
      </c>
      <c r="N93" s="15">
        <v>8.6200000000000003E-4</v>
      </c>
      <c r="O93" s="8">
        <f>(I93 - MAX(I2:I93)) / MAX(I2:I93)</f>
        <v>-0.48843831871511567</v>
      </c>
      <c r="P93" s="15">
        <v>-5.1499999999999997E-2</v>
      </c>
      <c r="Q93">
        <f t="shared" si="17"/>
        <v>1.1564443188660092</v>
      </c>
      <c r="R93">
        <f t="shared" si="18"/>
        <v>2.6105699203990834E-3</v>
      </c>
      <c r="S93" s="15">
        <f t="shared" si="19"/>
        <v>9.4871548640386549E-2</v>
      </c>
    </row>
    <row r="94" spans="1:19" x14ac:dyDescent="0.3">
      <c r="A94" s="2">
        <v>44805</v>
      </c>
      <c r="B94">
        <v>2022</v>
      </c>
      <c r="C94">
        <v>9</v>
      </c>
      <c r="D94" s="5" t="s">
        <v>9</v>
      </c>
      <c r="E94" t="s">
        <v>10</v>
      </c>
      <c r="F94" t="s">
        <v>11</v>
      </c>
      <c r="G94" t="s">
        <v>10</v>
      </c>
      <c r="H94" t="s">
        <v>22</v>
      </c>
      <c r="I94">
        <v>4.6210000000000004</v>
      </c>
      <c r="J94" s="8">
        <f t="shared" si="14"/>
        <v>2.8946782453796657E-2</v>
      </c>
      <c r="K94" s="8">
        <f t="shared" si="15"/>
        <v>-0.36138750690989419</v>
      </c>
      <c r="L94">
        <f t="shared" si="13"/>
        <v>2.7450782453796656E-2</v>
      </c>
      <c r="M94">
        <f t="shared" si="16"/>
        <v>-0.14295815091015202</v>
      </c>
      <c r="N94" s="15">
        <v>1.4959999999999999E-3</v>
      </c>
      <c r="O94" s="8">
        <f>(I94 - MAX(I2:I94)) / MAX(I2:I94)</f>
        <v>-0.47363025401526365</v>
      </c>
      <c r="P94" s="15">
        <v>-5.6599999999999998E-2</v>
      </c>
      <c r="Q94">
        <f t="shared" si="17"/>
        <v>1.0744540101794691</v>
      </c>
      <c r="R94">
        <f t="shared" si="18"/>
        <v>3.2618974711408014E-3</v>
      </c>
      <c r="S94" s="15">
        <f t="shared" si="19"/>
        <v>9.4801736991172725E-2</v>
      </c>
    </row>
    <row r="95" spans="1:19" x14ac:dyDescent="0.3">
      <c r="A95" s="2">
        <v>44835</v>
      </c>
      <c r="B95">
        <v>2022</v>
      </c>
      <c r="C95">
        <v>10</v>
      </c>
      <c r="D95" s="5" t="s">
        <v>9</v>
      </c>
      <c r="E95" t="s">
        <v>10</v>
      </c>
      <c r="F95" t="s">
        <v>11</v>
      </c>
      <c r="G95" t="s">
        <v>10</v>
      </c>
      <c r="H95" t="s">
        <v>22</v>
      </c>
      <c r="I95">
        <v>5.2089999999999996</v>
      </c>
      <c r="J95" s="8">
        <f t="shared" si="14"/>
        <v>0.12724518502488619</v>
      </c>
      <c r="K95" s="8">
        <f t="shared" si="15"/>
        <v>-0.28012714206743983</v>
      </c>
      <c r="L95">
        <f t="shared" si="13"/>
        <v>0.1254231850248862</v>
      </c>
      <c r="M95">
        <f t="shared" si="16"/>
        <v>-8.0423890759599589E-2</v>
      </c>
      <c r="N95" s="15">
        <v>1.8220000000000001E-3</v>
      </c>
      <c r="O95" s="8">
        <f>(I95 - MAX(I2:I95)) / MAX(I2:I95)</f>
        <v>-0.4066522382959335</v>
      </c>
      <c r="P95" s="15">
        <v>9.0200000000000002E-2</v>
      </c>
      <c r="Q95">
        <f t="shared" si="17"/>
        <v>1.1450456881067532</v>
      </c>
      <c r="R95">
        <f t="shared" si="18"/>
        <v>6.1296947091457896E-3</v>
      </c>
      <c r="S95" s="15">
        <f t="shared" si="19"/>
        <v>0.10126066792538101</v>
      </c>
    </row>
    <row r="96" spans="1:19" x14ac:dyDescent="0.3">
      <c r="A96" s="2">
        <v>44866</v>
      </c>
      <c r="B96">
        <v>2022</v>
      </c>
      <c r="C96">
        <v>11</v>
      </c>
      <c r="D96" s="5" t="s">
        <v>9</v>
      </c>
      <c r="E96" t="s">
        <v>10</v>
      </c>
      <c r="F96" t="s">
        <v>11</v>
      </c>
      <c r="G96" t="s">
        <v>10</v>
      </c>
      <c r="H96" t="s">
        <v>22</v>
      </c>
      <c r="I96">
        <v>5.6120000000000001</v>
      </c>
      <c r="J96" s="8">
        <f t="shared" si="14"/>
        <v>7.7366097139566228E-2</v>
      </c>
      <c r="K96" s="8">
        <f t="shared" si="15"/>
        <v>-0.22443338861249218</v>
      </c>
      <c r="L96">
        <f t="shared" si="13"/>
        <v>7.5644097139566227E-2</v>
      </c>
      <c r="M96">
        <f t="shared" si="16"/>
        <v>0.21831679343002991</v>
      </c>
      <c r="N96" s="15">
        <v>1.722E-3</v>
      </c>
      <c r="O96" s="8">
        <f>(I96 - MAX(I2:I96)) / MAX(I2:I96)</f>
        <v>-0.3607472377263925</v>
      </c>
      <c r="P96" s="15">
        <v>9.6000000000000002E-2</v>
      </c>
      <c r="Q96">
        <f t="shared" si="17"/>
        <v>0.88786752501771382</v>
      </c>
      <c r="R96">
        <f t="shared" si="18"/>
        <v>1.7682353253233384E-2</v>
      </c>
      <c r="S96" s="15">
        <f t="shared" si="19"/>
        <v>7.710743452520219E-2</v>
      </c>
    </row>
    <row r="97" spans="1:19" x14ac:dyDescent="0.3">
      <c r="A97" s="2">
        <v>44896</v>
      </c>
      <c r="B97">
        <v>2022</v>
      </c>
      <c r="C97">
        <v>12</v>
      </c>
      <c r="D97" s="5" t="s">
        <v>9</v>
      </c>
      <c r="E97" t="s">
        <v>10</v>
      </c>
      <c r="F97" t="s">
        <v>11</v>
      </c>
      <c r="G97" t="s">
        <v>10</v>
      </c>
      <c r="H97" t="s">
        <v>22</v>
      </c>
      <c r="I97">
        <v>5.6340000000000003</v>
      </c>
      <c r="J97" s="8">
        <f t="shared" si="14"/>
        <v>3.9201710620100213E-3</v>
      </c>
      <c r="K97" s="8">
        <f t="shared" si="15"/>
        <v>-0.22139303482586969</v>
      </c>
      <c r="L97">
        <f t="shared" si="13"/>
        <v>2.1821710620100214E-3</v>
      </c>
      <c r="M97">
        <f t="shared" si="16"/>
        <v>0.10315040420340993</v>
      </c>
      <c r="N97" s="15">
        <v>1.738E-3</v>
      </c>
      <c r="O97" s="8">
        <f>(I97 - MAX(I2:I97)) / MAX(I2:I97)</f>
        <v>-0.35824125754641756</v>
      </c>
      <c r="P97" s="15">
        <v>-4.3200000000000002E-2</v>
      </c>
      <c r="Q97">
        <f t="shared" si="17"/>
        <v>0.79438167892696654</v>
      </c>
      <c r="R97">
        <f t="shared" si="18"/>
        <v>1.4990692855693948E-2</v>
      </c>
      <c r="S97" s="15">
        <f t="shared" si="19"/>
        <v>7.0546011124918928E-2</v>
      </c>
    </row>
    <row r="98" spans="1:19" x14ac:dyDescent="0.3">
      <c r="A98" s="2">
        <v>44927</v>
      </c>
      <c r="B98">
        <v>2023</v>
      </c>
      <c r="C98">
        <v>1</v>
      </c>
      <c r="D98" s="5" t="s">
        <v>9</v>
      </c>
      <c r="E98" t="s">
        <v>10</v>
      </c>
      <c r="F98" t="s">
        <v>11</v>
      </c>
      <c r="G98" t="s">
        <v>10</v>
      </c>
      <c r="H98" t="s">
        <v>22</v>
      </c>
      <c r="I98">
        <v>6.4630000000000001</v>
      </c>
      <c r="J98" s="8">
        <f t="shared" si="14"/>
        <v>0.14714235001774933</v>
      </c>
      <c r="K98" s="8">
        <f t="shared" si="15"/>
        <v>-0.10682697622996029</v>
      </c>
      <c r="L98">
        <f t="shared" si="13"/>
        <v>0.14531535001774934</v>
      </c>
      <c r="M98">
        <f t="shared" si="16"/>
        <v>0.16726732831079588</v>
      </c>
      <c r="N98" s="15">
        <v>1.8270000000000001E-3</v>
      </c>
      <c r="O98" s="8">
        <f>(I98 - MAX(I2:I98)) / MAX(I2:I98)</f>
        <v>-0.26381136803736188</v>
      </c>
      <c r="P98" s="15">
        <v>9.7500000000000003E-2</v>
      </c>
      <c r="Q98">
        <f t="shared" si="17"/>
        <v>0.94584835292337321</v>
      </c>
      <c r="R98">
        <f t="shared" si="18"/>
        <v>1.2530407500483729E-2</v>
      </c>
      <c r="S98" s="15">
        <f t="shared" si="19"/>
        <v>7.9413141244376068E-2</v>
      </c>
    </row>
    <row r="99" spans="1:19" x14ac:dyDescent="0.3">
      <c r="A99" s="2">
        <v>44958</v>
      </c>
      <c r="B99">
        <v>2023</v>
      </c>
      <c r="C99">
        <v>2</v>
      </c>
      <c r="D99" s="5" t="s">
        <v>9</v>
      </c>
      <c r="E99" t="s">
        <v>10</v>
      </c>
      <c r="F99" t="s">
        <v>11</v>
      </c>
      <c r="G99" t="s">
        <v>10</v>
      </c>
      <c r="H99" t="s">
        <v>22</v>
      </c>
      <c r="I99">
        <v>7.3730000000000002</v>
      </c>
      <c r="J99" s="8">
        <f t="shared" ref="J99:J130" si="20">(I99-I98)/I98</f>
        <v>0.14080148537830731</v>
      </c>
      <c r="K99" s="8">
        <f t="shared" ref="K99:K130" si="21">(K98+1)*(J99+1)-1</f>
        <v>1.8933112216695358E-2</v>
      </c>
      <c r="L99">
        <f t="shared" si="13"/>
        <v>0.1388264853783073</v>
      </c>
      <c r="M99">
        <f t="shared" si="16"/>
        <v>0.35971039480286937</v>
      </c>
      <c r="N99" s="15">
        <v>1.9750000000000002E-3</v>
      </c>
      <c r="O99" s="8">
        <f>(I99 - MAX(I2:I99)) / MAX(I2:I99)</f>
        <v>-0.16015491513839841</v>
      </c>
      <c r="P99" s="15">
        <v>1.7999999999999999E-2</v>
      </c>
      <c r="Q99">
        <f t="shared" si="17"/>
        <v>0.94398030556825541</v>
      </c>
      <c r="R99">
        <f t="shared" si="18"/>
        <v>2.3208998317514495E-2</v>
      </c>
      <c r="S99" s="15">
        <f t="shared" si="19"/>
        <v>8.3263286514753995E-2</v>
      </c>
    </row>
    <row r="100" spans="1:19" x14ac:dyDescent="0.3">
      <c r="A100" s="2">
        <v>44986</v>
      </c>
      <c r="B100">
        <v>2023</v>
      </c>
      <c r="C100">
        <v>3</v>
      </c>
      <c r="D100" s="5" t="s">
        <v>9</v>
      </c>
      <c r="E100" t="s">
        <v>10</v>
      </c>
      <c r="F100" t="s">
        <v>11</v>
      </c>
      <c r="G100" t="s">
        <v>10</v>
      </c>
      <c r="H100" t="s">
        <v>22</v>
      </c>
      <c r="I100">
        <v>6.5709999999999997</v>
      </c>
      <c r="J100" s="8">
        <f t="shared" si="20"/>
        <v>-0.10877526108775268</v>
      </c>
      <c r="K100" s="8">
        <f t="shared" si="21"/>
        <v>-9.1901603095632112E-2</v>
      </c>
      <c r="L100">
        <f t="shared" si="13"/>
        <v>-0.11076126108775268</v>
      </c>
      <c r="M100">
        <f t="shared" si="16"/>
        <v>0.2392938912447877</v>
      </c>
      <c r="N100" s="15">
        <v>1.9859999999999999E-3</v>
      </c>
      <c r="O100" s="8">
        <f>(I100 - MAX(I2:I100)) / MAX(I2:I100)</f>
        <v>-0.25150928351748492</v>
      </c>
      <c r="P100" s="15">
        <v>1.8100000000000002E-2</v>
      </c>
      <c r="Q100">
        <f t="shared" si="17"/>
        <v>0.90881501207970239</v>
      </c>
      <c r="R100">
        <f t="shared" si="18"/>
        <v>1.3855132807224177E-2</v>
      </c>
      <c r="S100" s="15">
        <f t="shared" si="19"/>
        <v>9.1938775530558903E-2</v>
      </c>
    </row>
    <row r="101" spans="1:19" x14ac:dyDescent="0.3">
      <c r="A101" s="2">
        <v>45017</v>
      </c>
      <c r="B101">
        <v>2023</v>
      </c>
      <c r="C101">
        <v>4</v>
      </c>
      <c r="D101" s="5" t="s">
        <v>9</v>
      </c>
      <c r="E101" t="s">
        <v>10</v>
      </c>
      <c r="F101" t="s">
        <v>11</v>
      </c>
      <c r="G101" t="s">
        <v>10</v>
      </c>
      <c r="H101" t="s">
        <v>22</v>
      </c>
      <c r="I101">
        <v>6.65</v>
      </c>
      <c r="J101" s="8">
        <f t="shared" si="20"/>
        <v>1.2022523208035402E-2</v>
      </c>
      <c r="K101" s="8">
        <f t="shared" si="21"/>
        <v>-8.0983969043669668E-2</v>
      </c>
      <c r="L101">
        <f t="shared" si="13"/>
        <v>1.0056523208035403E-2</v>
      </c>
      <c r="M101">
        <f t="shared" si="16"/>
        <v>0.27941454593007603</v>
      </c>
      <c r="N101" s="15">
        <v>1.9659999999999999E-3</v>
      </c>
      <c r="O101" s="8">
        <f>(I101 - MAX(I2:I101)) / MAX(I2:I101)</f>
        <v>-0.24251053650757484</v>
      </c>
      <c r="P101" s="15">
        <v>1.03E-2</v>
      </c>
      <c r="Q101">
        <f t="shared" si="17"/>
        <v>0.89297325549491269</v>
      </c>
      <c r="R101">
        <f t="shared" si="18"/>
        <v>1.4738194737659829E-2</v>
      </c>
      <c r="S101" s="15">
        <f t="shared" si="19"/>
        <v>9.0566120421817456E-2</v>
      </c>
    </row>
    <row r="102" spans="1:19" x14ac:dyDescent="0.3">
      <c r="A102" s="2">
        <v>45047</v>
      </c>
      <c r="B102">
        <v>2023</v>
      </c>
      <c r="C102">
        <v>5</v>
      </c>
      <c r="D102" s="5" t="s">
        <v>9</v>
      </c>
      <c r="E102" t="s">
        <v>10</v>
      </c>
      <c r="F102" t="s">
        <v>11</v>
      </c>
      <c r="G102" t="s">
        <v>10</v>
      </c>
      <c r="H102" t="s">
        <v>22</v>
      </c>
      <c r="I102">
        <v>6.12</v>
      </c>
      <c r="J102" s="8">
        <f t="shared" si="20"/>
        <v>-7.9699248120300784E-2</v>
      </c>
      <c r="K102" s="8">
        <f t="shared" si="21"/>
        <v>-0.15422885572139233</v>
      </c>
      <c r="L102">
        <f t="shared" si="13"/>
        <v>-8.1651248120300779E-2</v>
      </c>
      <c r="M102">
        <f t="shared" si="16"/>
        <v>0.19083659739007786</v>
      </c>
      <c r="N102" s="15">
        <v>1.952E-3</v>
      </c>
      <c r="O102" s="8">
        <f>(I102 - MAX(I2:I102)) / MAX(I2:I102)</f>
        <v>-0.30288187720697118</v>
      </c>
      <c r="P102" s="15">
        <v>-3.2400000000000012E-2</v>
      </c>
      <c r="Q102">
        <f t="shared" si="17"/>
        <v>0.94982865739047151</v>
      </c>
      <c r="R102">
        <f t="shared" si="18"/>
        <v>9.3690747486351381E-3</v>
      </c>
      <c r="S102" s="15">
        <f t="shared" si="19"/>
        <v>9.5568364672544065E-2</v>
      </c>
    </row>
    <row r="103" spans="1:19" x14ac:dyDescent="0.3">
      <c r="A103" s="2">
        <v>45078</v>
      </c>
      <c r="B103">
        <v>2023</v>
      </c>
      <c r="C103">
        <v>6</v>
      </c>
      <c r="D103" s="5" t="s">
        <v>9</v>
      </c>
      <c r="E103" t="s">
        <v>10</v>
      </c>
      <c r="F103" t="s">
        <v>11</v>
      </c>
      <c r="G103" t="s">
        <v>10</v>
      </c>
      <c r="H103" t="s">
        <v>22</v>
      </c>
      <c r="I103">
        <v>7.032</v>
      </c>
      <c r="J103" s="8">
        <f t="shared" si="20"/>
        <v>0.14901960784313725</v>
      </c>
      <c r="K103" s="8">
        <f t="shared" si="21"/>
        <v>-2.8192371475952882E-2</v>
      </c>
      <c r="L103">
        <f t="shared" si="13"/>
        <v>0.14703960784313724</v>
      </c>
      <c r="M103">
        <f t="shared" si="16"/>
        <v>0.49676433451619928</v>
      </c>
      <c r="N103" s="15">
        <v>1.98E-3</v>
      </c>
      <c r="O103" s="8">
        <f>(I103 - MAX(I2:I103)) / MAX(I2:I103)</f>
        <v>-0.19899760792801002</v>
      </c>
      <c r="P103" s="15">
        <v>4.2900000000000001E-2</v>
      </c>
      <c r="Q103">
        <f t="shared" si="17"/>
        <v>0.79255489599387063</v>
      </c>
      <c r="R103">
        <f t="shared" si="18"/>
        <v>2.6856573019268543E-2</v>
      </c>
      <c r="S103" s="15">
        <f t="shared" si="19"/>
        <v>8.6287057353529914E-2</v>
      </c>
    </row>
    <row r="104" spans="1:19" x14ac:dyDescent="0.3">
      <c r="A104" s="2">
        <v>45108</v>
      </c>
      <c r="B104">
        <v>2023</v>
      </c>
      <c r="C104">
        <v>7</v>
      </c>
      <c r="D104" s="5" t="s">
        <v>9</v>
      </c>
      <c r="E104" t="s">
        <v>10</v>
      </c>
      <c r="F104" t="s">
        <v>11</v>
      </c>
      <c r="G104" t="s">
        <v>10</v>
      </c>
      <c r="H104" t="s">
        <v>22</v>
      </c>
      <c r="I104">
        <v>7.21</v>
      </c>
      <c r="J104" s="8">
        <f t="shared" si="20"/>
        <v>2.5312855517633664E-2</v>
      </c>
      <c r="K104" s="8">
        <f t="shared" si="21"/>
        <v>-3.5931453841895333E-3</v>
      </c>
      <c r="L104">
        <f t="shared" si="13"/>
        <v>2.3265855517633664E-2</v>
      </c>
      <c r="M104">
        <f t="shared" si="16"/>
        <v>0.50166999889485175</v>
      </c>
      <c r="N104" s="15">
        <v>2.0470000000000002E-3</v>
      </c>
      <c r="O104" s="8">
        <f>(I104 - MAX(I2:I104)) / MAX(I2:I104)</f>
        <v>-0.17872195010821279</v>
      </c>
      <c r="P104" s="15">
        <v>1.6400000000000001E-2</v>
      </c>
      <c r="Q104">
        <f t="shared" si="17"/>
        <v>0.89796334865957461</v>
      </c>
      <c r="R104">
        <f t="shared" si="18"/>
        <v>2.943034256985938E-2</v>
      </c>
      <c r="S104" s="15">
        <f t="shared" si="19"/>
        <v>8.6159394646765267E-2</v>
      </c>
    </row>
    <row r="105" spans="1:19" x14ac:dyDescent="0.3">
      <c r="A105" s="2">
        <v>45139</v>
      </c>
      <c r="B105">
        <v>2023</v>
      </c>
      <c r="C105">
        <v>8</v>
      </c>
      <c r="D105" s="5" t="s">
        <v>9</v>
      </c>
      <c r="E105" t="s">
        <v>10</v>
      </c>
      <c r="F105" t="s">
        <v>11</v>
      </c>
      <c r="G105" t="s">
        <v>10</v>
      </c>
      <c r="H105" t="s">
        <v>22</v>
      </c>
      <c r="I105">
        <v>7.266</v>
      </c>
      <c r="J105" s="8">
        <f t="shared" si="20"/>
        <v>7.7669902912621425E-3</v>
      </c>
      <c r="K105" s="8">
        <f t="shared" si="21"/>
        <v>4.145936981758469E-3</v>
      </c>
      <c r="L105">
        <f t="shared" si="13"/>
        <v>5.6459902912621429E-3</v>
      </c>
      <c r="M105">
        <f t="shared" si="16"/>
        <v>0.49001808590505358</v>
      </c>
      <c r="N105" s="15">
        <v>2.1210000000000001E-3</v>
      </c>
      <c r="O105" s="8">
        <f>(I105 - MAX(I2:I105)) / MAX(I2:I105)</f>
        <v>-0.17234309146827656</v>
      </c>
      <c r="P105" s="15">
        <v>-3.9E-2</v>
      </c>
      <c r="Q105">
        <f t="shared" si="17"/>
        <v>0.94506343713716245</v>
      </c>
      <c r="R105">
        <f t="shared" si="18"/>
        <v>2.6967781037857505E-2</v>
      </c>
      <c r="S105" s="15">
        <f t="shared" si="19"/>
        <v>8.6465777718737452E-2</v>
      </c>
    </row>
    <row r="106" spans="1:19" x14ac:dyDescent="0.3">
      <c r="A106" s="2">
        <v>45170</v>
      </c>
      <c r="B106">
        <v>2023</v>
      </c>
      <c r="C106">
        <v>9</v>
      </c>
      <c r="D106" s="5" t="s">
        <v>9</v>
      </c>
      <c r="E106" t="s">
        <v>10</v>
      </c>
      <c r="F106" t="s">
        <v>11</v>
      </c>
      <c r="G106" t="s">
        <v>10</v>
      </c>
      <c r="H106" t="s">
        <v>22</v>
      </c>
      <c r="I106">
        <v>7.71</v>
      </c>
      <c r="J106" s="8">
        <f t="shared" si="20"/>
        <v>6.1106523534269194E-2</v>
      </c>
      <c r="K106" s="8">
        <f t="shared" si="21"/>
        <v>6.5505804311775107E-2</v>
      </c>
      <c r="L106">
        <f t="shared" si="13"/>
        <v>5.8888523534269197E-2</v>
      </c>
      <c r="M106">
        <f t="shared" si="16"/>
        <v>0.52043275373923858</v>
      </c>
      <c r="N106" s="15">
        <v>2.2179999999999999E-3</v>
      </c>
      <c r="O106" s="8">
        <f>(I106 - MAX(I2:I106)) / MAX(I2:I106)</f>
        <v>-0.12176785510878231</v>
      </c>
      <c r="P106" s="15">
        <v>-2.8500000000000001E-2</v>
      </c>
      <c r="Q106">
        <f t="shared" si="17"/>
        <v>0.98788109741377617</v>
      </c>
      <c r="R106">
        <f t="shared" si="18"/>
        <v>2.6635928388732619E-2</v>
      </c>
      <c r="S106" s="15">
        <f t="shared" si="19"/>
        <v>8.6446531905398694E-2</v>
      </c>
    </row>
    <row r="107" spans="1:19" x14ac:dyDescent="0.3">
      <c r="A107" s="2">
        <v>45200</v>
      </c>
      <c r="B107">
        <v>2023</v>
      </c>
      <c r="C107">
        <v>10</v>
      </c>
      <c r="D107" s="5" t="s">
        <v>9</v>
      </c>
      <c r="E107" t="s">
        <v>10</v>
      </c>
      <c r="F107" t="s">
        <v>11</v>
      </c>
      <c r="G107" t="s">
        <v>10</v>
      </c>
      <c r="H107" t="s">
        <v>22</v>
      </c>
      <c r="I107">
        <v>7.4219999999999997</v>
      </c>
      <c r="J107" s="8">
        <f t="shared" si="20"/>
        <v>-3.7354085603112874E-2</v>
      </c>
      <c r="K107" s="8">
        <f t="shared" si="21"/>
        <v>2.5704809286899444E-2</v>
      </c>
      <c r="L107">
        <f t="shared" si="13"/>
        <v>-3.9707085603112875E-2</v>
      </c>
      <c r="M107">
        <f t="shared" si="16"/>
        <v>0.36482297035696665</v>
      </c>
      <c r="N107" s="15">
        <v>2.3530000000000001E-3</v>
      </c>
      <c r="O107" s="8">
        <f>(I107 - MAX(I2:I107)) / MAX(I2:I107)</f>
        <v>-0.1545734138284543</v>
      </c>
      <c r="P107" s="15">
        <v>-2.7199999999999998E-2</v>
      </c>
      <c r="Q107">
        <f t="shared" si="17"/>
        <v>1.0068623064720945</v>
      </c>
      <c r="R107">
        <f t="shared" si="18"/>
        <v>2.2417447005553103E-2</v>
      </c>
      <c r="S107" s="15">
        <f t="shared" si="19"/>
        <v>8.5599738236084105E-2</v>
      </c>
    </row>
    <row r="108" spans="1:19" x14ac:dyDescent="0.3">
      <c r="A108" s="2">
        <v>45231</v>
      </c>
      <c r="B108">
        <v>2023</v>
      </c>
      <c r="C108">
        <v>11</v>
      </c>
      <c r="D108" s="5" t="s">
        <v>9</v>
      </c>
      <c r="E108" t="s">
        <v>10</v>
      </c>
      <c r="F108" t="s">
        <v>11</v>
      </c>
      <c r="G108" t="s">
        <v>10</v>
      </c>
      <c r="H108" t="s">
        <v>22</v>
      </c>
      <c r="I108">
        <v>8.5060000000000002</v>
      </c>
      <c r="J108" s="8">
        <f t="shared" si="20"/>
        <v>0.14605227701428194</v>
      </c>
      <c r="K108" s="8">
        <f t="shared" si="21"/>
        <v>0.17551133222775106</v>
      </c>
      <c r="L108">
        <f t="shared" si="13"/>
        <v>0.14388427701428194</v>
      </c>
      <c r="M108">
        <f t="shared" si="16"/>
        <v>0.40588989657315416</v>
      </c>
      <c r="N108" s="15">
        <v>2.1679999999999998E-3</v>
      </c>
      <c r="O108" s="8">
        <f>(I108 - MAX(I2:I108)) / MAX(I2:I108)</f>
        <v>-3.1096935869688997E-2</v>
      </c>
      <c r="P108" s="15">
        <v>7.9100000000000004E-2</v>
      </c>
      <c r="Q108">
        <f t="shared" si="17"/>
        <v>1.2903889056070026</v>
      </c>
      <c r="R108">
        <f t="shared" si="18"/>
        <v>2.7488173674154973E-2</v>
      </c>
      <c r="S108" s="15">
        <f t="shared" si="19"/>
        <v>9.0949375022543841E-2</v>
      </c>
    </row>
    <row r="109" spans="1:19" x14ac:dyDescent="0.3">
      <c r="A109" s="2">
        <v>45261</v>
      </c>
      <c r="B109">
        <v>2023</v>
      </c>
      <c r="C109">
        <v>12</v>
      </c>
      <c r="D109" s="5" t="s">
        <v>9</v>
      </c>
      <c r="E109" t="s">
        <v>10</v>
      </c>
      <c r="F109" t="s">
        <v>11</v>
      </c>
      <c r="G109" t="s">
        <v>10</v>
      </c>
      <c r="H109" t="s">
        <v>22</v>
      </c>
      <c r="I109">
        <v>8.2260000000000009</v>
      </c>
      <c r="J109" s="8">
        <f t="shared" si="20"/>
        <v>-3.2917940277451138E-2</v>
      </c>
      <c r="K109" s="8">
        <f t="shared" si="21"/>
        <v>0.13681592039801105</v>
      </c>
      <c r="L109">
        <f t="shared" si="13"/>
        <v>-3.4669940277451142E-2</v>
      </c>
      <c r="M109">
        <f t="shared" ref="M109:M140" si="22">(AVERAGE(J98:J109)-AVERAGE(N98:N109))/STDEV(J98:J109)</f>
        <v>0.36454173296553333</v>
      </c>
      <c r="N109" s="15">
        <v>1.7520000000000001E-3</v>
      </c>
      <c r="O109" s="8">
        <f>(I109 - MAX(I2:I109)) / MAX(I2:I109)</f>
        <v>-6.2991229069369978E-2</v>
      </c>
      <c r="P109" s="15">
        <v>3.1800000000000002E-2</v>
      </c>
      <c r="Q109">
        <f t="shared" ref="Q109:Q140" si="23" xml:space="preserve"> _xlfn.COVARIANCE.P(J98:J109, P98:P109) / _xlfn.VAR.P(P98:P109)</f>
        <v>1.3043260831960493</v>
      </c>
      <c r="R109">
        <f t="shared" ref="R109:R140" si="24">AVERAGE(J98:J109)-(AVERAGE(N98:N109)+Q109*(AVERAGE(P98:P109)-AVERAGE(N98:N109)))</f>
        <v>1.6164826554483789E-2</v>
      </c>
      <c r="S109" s="15">
        <f t="shared" ref="S109:S140" si="25">STDEV(J98:J109)</f>
        <v>9.2841011281978025E-2</v>
      </c>
    </row>
    <row r="110" spans="1:19" x14ac:dyDescent="0.3">
      <c r="A110" s="2">
        <v>45292</v>
      </c>
      <c r="B110">
        <v>2024</v>
      </c>
      <c r="C110">
        <v>1</v>
      </c>
      <c r="D110" s="5" t="s">
        <v>9</v>
      </c>
      <c r="E110" t="s">
        <v>10</v>
      </c>
      <c r="F110" t="s">
        <v>11</v>
      </c>
      <c r="G110" t="s">
        <v>10</v>
      </c>
      <c r="H110" t="s">
        <v>22</v>
      </c>
      <c r="I110">
        <v>8.6760000000000002</v>
      </c>
      <c r="J110" s="8">
        <f t="shared" si="20"/>
        <v>5.4704595185995533E-2</v>
      </c>
      <c r="K110" s="8">
        <f t="shared" si="21"/>
        <v>0.19900497512437898</v>
      </c>
      <c r="L110">
        <f t="shared" si="13"/>
        <v>5.2892595185995532E-2</v>
      </c>
      <c r="M110">
        <f t="shared" si="22"/>
        <v>0.30264713016045991</v>
      </c>
      <c r="N110" s="15">
        <v>1.812E-3</v>
      </c>
      <c r="O110" s="8">
        <f>(I110 - MAX(I2:I110)) / MAX(I2:I110)</f>
        <v>-1.1732543569882648E-2</v>
      </c>
      <c r="P110" s="15">
        <v>2.8000000000000001E-2</v>
      </c>
      <c r="Q110">
        <f t="shared" si="23"/>
        <v>1.2798543646433391</v>
      </c>
      <c r="R110">
        <f t="shared" si="24"/>
        <v>1.6205524310873756E-2</v>
      </c>
      <c r="S110" s="15">
        <f t="shared" si="25"/>
        <v>8.6379563200103551E-2</v>
      </c>
    </row>
    <row r="111" spans="1:19" x14ac:dyDescent="0.3">
      <c r="A111" s="2">
        <v>45323</v>
      </c>
      <c r="B111">
        <v>2024</v>
      </c>
      <c r="C111">
        <v>2</v>
      </c>
      <c r="D111" s="5" t="s">
        <v>9</v>
      </c>
      <c r="E111" t="s">
        <v>10</v>
      </c>
      <c r="F111" t="s">
        <v>11</v>
      </c>
      <c r="G111" t="s">
        <v>10</v>
      </c>
      <c r="H111" t="s">
        <v>22</v>
      </c>
      <c r="I111">
        <v>9.1859999999999999</v>
      </c>
      <c r="J111" s="8">
        <f t="shared" si="20"/>
        <v>5.8782849239280746E-2</v>
      </c>
      <c r="K111" s="8">
        <f t="shared" si="21"/>
        <v>0.26948590381426296</v>
      </c>
      <c r="L111">
        <f t="shared" si="13"/>
        <v>5.6839849239280746E-2</v>
      </c>
      <c r="M111">
        <f t="shared" si="22"/>
        <v>0.24247238079888089</v>
      </c>
      <c r="N111" s="15">
        <v>1.9430000000000001E-3</v>
      </c>
      <c r="O111" s="8">
        <f>(I111 - MAX(I2:I111)) / MAX(I2:I111)</f>
        <v>0</v>
      </c>
      <c r="P111" s="15">
        <v>4.9299999999999997E-2</v>
      </c>
      <c r="Q111">
        <f t="shared" si="23"/>
        <v>1.1943738310591323</v>
      </c>
      <c r="R111">
        <f t="shared" si="24"/>
        <v>6.9184796692295242E-3</v>
      </c>
      <c r="S111" s="15">
        <f t="shared" si="25"/>
        <v>7.9639203298746686E-2</v>
      </c>
    </row>
    <row r="112" spans="1:19" x14ac:dyDescent="0.3">
      <c r="A112" s="2">
        <v>45352</v>
      </c>
      <c r="B112">
        <v>2024</v>
      </c>
      <c r="C112">
        <v>3</v>
      </c>
      <c r="D112" s="5" t="s">
        <v>9</v>
      </c>
      <c r="E112" t="s">
        <v>10</v>
      </c>
      <c r="F112" t="s">
        <v>11</v>
      </c>
      <c r="G112" t="s">
        <v>10</v>
      </c>
      <c r="H112" t="s">
        <v>22</v>
      </c>
      <c r="I112">
        <v>11.04</v>
      </c>
      <c r="J112" s="8">
        <f t="shared" si="20"/>
        <v>0.20182887001959496</v>
      </c>
      <c r="K112" s="8">
        <f t="shared" si="21"/>
        <v>0.52570480928689989</v>
      </c>
      <c r="L112">
        <f t="shared" si="13"/>
        <v>0.19987087001959497</v>
      </c>
      <c r="M112">
        <f t="shared" si="22"/>
        <v>0.5388847816684994</v>
      </c>
      <c r="N112" s="15">
        <v>1.9580000000000001E-3</v>
      </c>
      <c r="O112" s="8">
        <f>(I112 - MAX(I2:I112)) / MAX(I2:I112)</f>
        <v>0</v>
      </c>
      <c r="P112" s="15">
        <v>4.2199999999999988E-2</v>
      </c>
      <c r="Q112">
        <f t="shared" si="23"/>
        <v>1.4757127716676859</v>
      </c>
      <c r="R112">
        <f t="shared" si="24"/>
        <v>2.6918385716638158E-2</v>
      </c>
      <c r="S112" s="15">
        <f t="shared" si="25"/>
        <v>8.387009559714842E-2</v>
      </c>
    </row>
    <row r="113" spans="1:19" x14ac:dyDescent="0.3">
      <c r="A113" s="2">
        <v>45383</v>
      </c>
      <c r="B113">
        <v>2024</v>
      </c>
      <c r="C113">
        <v>4</v>
      </c>
      <c r="D113" s="5" t="s">
        <v>9</v>
      </c>
      <c r="E113" t="s">
        <v>10</v>
      </c>
      <c r="F113" t="s">
        <v>11</v>
      </c>
      <c r="G113" t="s">
        <v>10</v>
      </c>
      <c r="H113" t="s">
        <v>22</v>
      </c>
      <c r="I113">
        <v>10.175000000000001</v>
      </c>
      <c r="J113" s="8">
        <f t="shared" si="20"/>
        <v>-7.8351449275362181E-2</v>
      </c>
      <c r="K113" s="8">
        <f t="shared" si="21"/>
        <v>0.40616362631288117</v>
      </c>
      <c r="L113">
        <f t="shared" si="13"/>
        <v>-8.0389449275362179E-2</v>
      </c>
      <c r="M113">
        <f t="shared" si="22"/>
        <v>0.41353367651709527</v>
      </c>
      <c r="N113" s="15">
        <v>2.0379999999999999E-3</v>
      </c>
      <c r="O113" s="8">
        <f>(I113 - MAX(I2:I113)) / MAX(I2:I113)</f>
        <v>-7.8351449275362181E-2</v>
      </c>
      <c r="P113" s="15">
        <v>-3.1899999999999998E-2</v>
      </c>
      <c r="Q113">
        <f t="shared" si="23"/>
        <v>1.6101450449587784</v>
      </c>
      <c r="R113">
        <f t="shared" si="24"/>
        <v>2.3388169889791886E-2</v>
      </c>
      <c r="S113" s="15">
        <f t="shared" si="25"/>
        <v>9.1066715770153767E-2</v>
      </c>
    </row>
    <row r="114" spans="1:19" x14ac:dyDescent="0.3">
      <c r="A114" s="2">
        <v>45413</v>
      </c>
      <c r="B114">
        <v>2024</v>
      </c>
      <c r="C114">
        <v>5</v>
      </c>
      <c r="D114" s="5" t="s">
        <v>9</v>
      </c>
      <c r="E114" t="s">
        <v>10</v>
      </c>
      <c r="F114" t="s">
        <v>11</v>
      </c>
      <c r="G114" t="s">
        <v>10</v>
      </c>
      <c r="H114" t="s">
        <v>22</v>
      </c>
      <c r="I114">
        <v>9.94</v>
      </c>
      <c r="J114" s="8">
        <f t="shared" si="20"/>
        <v>-2.3095823095823212E-2</v>
      </c>
      <c r="K114" s="8">
        <f t="shared" si="21"/>
        <v>0.37368711995577764</v>
      </c>
      <c r="L114">
        <f t="shared" si="13"/>
        <v>-2.5195823095823213E-2</v>
      </c>
      <c r="M114">
        <f t="shared" si="22"/>
        <v>0.49476520302021437</v>
      </c>
      <c r="N114" s="15">
        <v>2.0999999999999999E-3</v>
      </c>
      <c r="O114" s="8">
        <f>(I114 - MAX(I2:I114)) / MAX(I2:I114)</f>
        <v>-9.963768115942026E-2</v>
      </c>
      <c r="P114" s="15">
        <v>1.2699999999999999E-2</v>
      </c>
      <c r="Q114">
        <f t="shared" si="23"/>
        <v>1.4724822511625721</v>
      </c>
      <c r="R114">
        <f t="shared" si="24"/>
        <v>2.3796998414191438E-2</v>
      </c>
      <c r="S114" s="15">
        <f t="shared" si="25"/>
        <v>8.5623993510873478E-2</v>
      </c>
    </row>
    <row r="115" spans="1:19" x14ac:dyDescent="0.3">
      <c r="A115" s="2">
        <v>45444</v>
      </c>
      <c r="B115">
        <v>2024</v>
      </c>
      <c r="C115">
        <v>6</v>
      </c>
      <c r="D115" s="5" t="s">
        <v>9</v>
      </c>
      <c r="E115" t="s">
        <v>10</v>
      </c>
      <c r="F115" t="s">
        <v>11</v>
      </c>
      <c r="G115" t="s">
        <v>10</v>
      </c>
      <c r="H115" t="s">
        <v>22</v>
      </c>
      <c r="I115">
        <v>9.3520000000000003</v>
      </c>
      <c r="J115" s="8">
        <f t="shared" si="20"/>
        <v>-5.915492957746471E-2</v>
      </c>
      <c r="K115" s="8">
        <f t="shared" si="21"/>
        <v>0.29242675511332328</v>
      </c>
      <c r="L115">
        <f t="shared" si="13"/>
        <v>-6.1224929577464712E-2</v>
      </c>
      <c r="M115">
        <f t="shared" si="22"/>
        <v>0.2992671262266236</v>
      </c>
      <c r="N115" s="15">
        <v>2.0699999999999998E-3</v>
      </c>
      <c r="O115" s="8">
        <f>(I115 - MAX(I2:I115)) / MAX(I2:I115)</f>
        <v>-0.15289855072463759</v>
      </c>
      <c r="P115" s="15">
        <v>-1.7999999999999999E-2</v>
      </c>
      <c r="Q115">
        <f t="shared" si="23"/>
        <v>1.4368685018090015</v>
      </c>
      <c r="R115">
        <f t="shared" si="24"/>
        <v>1.4193564157476246E-2</v>
      </c>
      <c r="S115" s="15">
        <f t="shared" si="25"/>
        <v>8.3565457822746061E-2</v>
      </c>
    </row>
    <row r="116" spans="1:19" x14ac:dyDescent="0.3">
      <c r="A116" s="2">
        <v>45474</v>
      </c>
      <c r="B116">
        <v>2024</v>
      </c>
      <c r="C116">
        <v>7</v>
      </c>
      <c r="D116" s="5" t="s">
        <v>9</v>
      </c>
      <c r="E116" t="s">
        <v>10</v>
      </c>
      <c r="F116" t="s">
        <v>11</v>
      </c>
      <c r="G116" t="s">
        <v>10</v>
      </c>
      <c r="H116" t="s">
        <v>22</v>
      </c>
      <c r="I116">
        <v>9.7040000000000006</v>
      </c>
      <c r="J116" s="8">
        <f t="shared" si="20"/>
        <v>3.763900769888797E-2</v>
      </c>
      <c r="K116" s="8">
        <f t="shared" si="21"/>
        <v>0.34107241569928237</v>
      </c>
      <c r="L116">
        <f t="shared" si="13"/>
        <v>3.5590007698887968E-2</v>
      </c>
      <c r="M116">
        <f t="shared" si="22"/>
        <v>0.31136197058306286</v>
      </c>
      <c r="N116" s="15">
        <v>2.049E-3</v>
      </c>
      <c r="O116" s="8">
        <f>(I116 - MAX(I2:I116)) / MAX(I2:I116)</f>
        <v>-0.12101449275362307</v>
      </c>
      <c r="P116" s="15">
        <v>-4.3E-3</v>
      </c>
      <c r="Q116">
        <f t="shared" si="23"/>
        <v>1.4199904503025045</v>
      </c>
      <c r="R116">
        <f t="shared" si="24"/>
        <v>1.7797332498766548E-2</v>
      </c>
      <c r="S116" s="15">
        <f t="shared" si="25"/>
        <v>8.3617813207701924E-2</v>
      </c>
    </row>
    <row r="117" spans="1:19" x14ac:dyDescent="0.3">
      <c r="A117" s="2">
        <v>45505</v>
      </c>
      <c r="B117">
        <v>2024</v>
      </c>
      <c r="C117">
        <v>8</v>
      </c>
      <c r="D117" s="5" t="s">
        <v>9</v>
      </c>
      <c r="E117" t="s">
        <v>10</v>
      </c>
      <c r="F117" t="s">
        <v>11</v>
      </c>
      <c r="G117" t="s">
        <v>10</v>
      </c>
      <c r="H117" t="s">
        <v>22</v>
      </c>
      <c r="I117">
        <v>9.59</v>
      </c>
      <c r="J117" s="8">
        <f t="shared" si="20"/>
        <v>-1.174773289365218E-2</v>
      </c>
      <c r="K117" s="8">
        <f t="shared" si="21"/>
        <v>0.32531785516860245</v>
      </c>
      <c r="L117">
        <f t="shared" si="13"/>
        <v>-1.358773289365218E-2</v>
      </c>
      <c r="M117">
        <f t="shared" si="22"/>
        <v>0.29004817325394811</v>
      </c>
      <c r="N117" s="15">
        <v>1.8400000000000001E-3</v>
      </c>
      <c r="O117" s="8">
        <f>(I117 - MAX(I2:I117)) / MAX(I2:I117)</f>
        <v>-0.13134057971014487</v>
      </c>
      <c r="P117" s="15">
        <v>1.7500000000000002E-2</v>
      </c>
      <c r="Q117">
        <f t="shared" si="23"/>
        <v>1.5740162138282741</v>
      </c>
      <c r="R117">
        <f t="shared" si="24"/>
        <v>7.8530905464803367E-3</v>
      </c>
      <c r="S117" s="15">
        <f t="shared" si="25"/>
        <v>8.4236341007379298E-2</v>
      </c>
    </row>
    <row r="118" spans="1:19" x14ac:dyDescent="0.3">
      <c r="A118" s="2">
        <v>45536</v>
      </c>
      <c r="B118">
        <v>2024</v>
      </c>
      <c r="C118">
        <v>9</v>
      </c>
      <c r="D118" s="5" t="s">
        <v>9</v>
      </c>
      <c r="E118" t="s">
        <v>10</v>
      </c>
      <c r="F118" t="s">
        <v>11</v>
      </c>
      <c r="G118" t="s">
        <v>10</v>
      </c>
      <c r="H118" t="s">
        <v>22</v>
      </c>
      <c r="I118">
        <v>9.7080000000000002</v>
      </c>
      <c r="J118" s="8">
        <f t="shared" si="20"/>
        <v>1.2304483837330587E-2</v>
      </c>
      <c r="K118" s="8">
        <f t="shared" si="21"/>
        <v>0.34162520729684998</v>
      </c>
      <c r="L118">
        <f t="shared" si="13"/>
        <v>1.0498483837330586E-2</v>
      </c>
      <c r="M118">
        <f t="shared" si="22"/>
        <v>0.24405817566648497</v>
      </c>
      <c r="N118" s="15">
        <v>1.8060000000000001E-3</v>
      </c>
      <c r="O118" s="8">
        <f>(I118 - MAX(I2:I118)) / MAX(I2:I118)</f>
        <v>-0.12065217391304339</v>
      </c>
      <c r="P118" s="15">
        <v>8.6E-3</v>
      </c>
      <c r="Q118">
        <f t="shared" si="23"/>
        <v>1.944980071169498</v>
      </c>
      <c r="R118">
        <f t="shared" si="24"/>
        <v>-6.166875514413174E-3</v>
      </c>
      <c r="S118" s="15">
        <f t="shared" si="25"/>
        <v>8.3587011445116724E-2</v>
      </c>
    </row>
    <row r="119" spans="1:19" x14ac:dyDescent="0.3">
      <c r="A119" s="2">
        <v>45566</v>
      </c>
      <c r="B119">
        <v>2024</v>
      </c>
      <c r="C119">
        <v>10</v>
      </c>
      <c r="D119" s="5" t="s">
        <v>9</v>
      </c>
      <c r="E119" t="s">
        <v>10</v>
      </c>
      <c r="F119" t="s">
        <v>11</v>
      </c>
      <c r="G119" t="s">
        <v>10</v>
      </c>
      <c r="H119" t="s">
        <v>22</v>
      </c>
      <c r="I119">
        <v>9.15</v>
      </c>
      <c r="J119" s="8">
        <f t="shared" si="20"/>
        <v>-5.7478368355995034E-2</v>
      </c>
      <c r="K119" s="8">
        <f t="shared" si="21"/>
        <v>0.26451077943615342</v>
      </c>
      <c r="L119">
        <f t="shared" si="13"/>
        <v>-5.9336368355995033E-2</v>
      </c>
      <c r="M119">
        <f t="shared" si="22"/>
        <v>0.22054097511069329</v>
      </c>
      <c r="N119" s="15">
        <v>1.8580000000000001E-3</v>
      </c>
      <c r="O119" s="8">
        <f>(I119 - MAX(I2:I119)) / MAX(I2:I119)</f>
        <v>-0.17119565217391294</v>
      </c>
      <c r="P119" s="15">
        <v>-3.4599999999999999E-2</v>
      </c>
      <c r="Q119">
        <f t="shared" si="23"/>
        <v>1.9536636784213131</v>
      </c>
      <c r="R119">
        <f t="shared" si="24"/>
        <v>-6.7970899978827826E-3</v>
      </c>
      <c r="S119" s="15">
        <f t="shared" si="25"/>
        <v>8.5083145889558481E-2</v>
      </c>
    </row>
    <row r="120" spans="1:19" x14ac:dyDescent="0.3">
      <c r="A120" s="2">
        <v>45597</v>
      </c>
      <c r="B120">
        <v>2024</v>
      </c>
      <c r="C120">
        <v>11</v>
      </c>
      <c r="D120" s="5" t="s">
        <v>9</v>
      </c>
      <c r="E120" t="s">
        <v>10</v>
      </c>
      <c r="F120" t="s">
        <v>11</v>
      </c>
      <c r="G120" t="s">
        <v>10</v>
      </c>
      <c r="H120" t="s">
        <v>22</v>
      </c>
      <c r="I120">
        <v>8.9359999999999999</v>
      </c>
      <c r="J120" s="8">
        <f t="shared" si="20"/>
        <v>-2.3387978142076545E-2</v>
      </c>
      <c r="K120" s="8">
        <f t="shared" si="21"/>
        <v>0.23493642896628053</v>
      </c>
      <c r="L120">
        <f t="shared" si="13"/>
        <v>-2.5308978142076544E-2</v>
      </c>
      <c r="M120">
        <f t="shared" si="22"/>
        <v>6.1410336007217486E-2</v>
      </c>
      <c r="N120" s="15">
        <v>1.921E-3</v>
      </c>
      <c r="O120" s="8">
        <f>(I120 - MAX(I2:I120)) / MAX(I2:I120)</f>
        <v>-0.19057971014492747</v>
      </c>
      <c r="P120" s="15">
        <v>-4.7999999999999996E-3</v>
      </c>
      <c r="Q120">
        <f t="shared" si="23"/>
        <v>1.9604175303420996</v>
      </c>
      <c r="R120">
        <f t="shared" si="24"/>
        <v>-7.3186602283266079E-3</v>
      </c>
      <c r="S120" s="15">
        <f t="shared" si="25"/>
        <v>7.5962489925536419E-2</v>
      </c>
    </row>
    <row r="121" spans="1:19" x14ac:dyDescent="0.3">
      <c r="A121" s="2">
        <v>45627</v>
      </c>
      <c r="B121">
        <v>2024</v>
      </c>
      <c r="C121">
        <v>12</v>
      </c>
      <c r="D121" s="5" t="s">
        <v>9</v>
      </c>
      <c r="E121" t="s">
        <v>10</v>
      </c>
      <c r="F121" t="s">
        <v>11</v>
      </c>
      <c r="G121" t="s">
        <v>10</v>
      </c>
      <c r="H121" t="s">
        <v>22</v>
      </c>
      <c r="I121">
        <v>9.452</v>
      </c>
      <c r="J121" s="8">
        <f t="shared" si="20"/>
        <v>5.774395702775291E-2</v>
      </c>
      <c r="K121" s="8">
        <f t="shared" si="21"/>
        <v>0.30624654505251603</v>
      </c>
      <c r="L121">
        <f t="shared" si="13"/>
        <v>5.5927957027752911E-2</v>
      </c>
      <c r="M121">
        <f t="shared" si="22"/>
        <v>0.16033231495422226</v>
      </c>
      <c r="N121" s="15">
        <v>1.8159999999999999E-3</v>
      </c>
      <c r="O121" s="8">
        <f>(I121 - MAX(I2:I121)) / MAX(I2:I121)</f>
        <v>-0.14384057971014486</v>
      </c>
      <c r="P121" s="15">
        <v>1.35E-2</v>
      </c>
      <c r="Q121">
        <f t="shared" si="23"/>
        <v>2.2760959084343759</v>
      </c>
      <c r="R121">
        <f t="shared" si="24"/>
        <v>1.7846869799642492E-3</v>
      </c>
      <c r="S121" s="15">
        <f t="shared" si="25"/>
        <v>7.6183686421500585E-2</v>
      </c>
    </row>
    <row r="122" spans="1:19" x14ac:dyDescent="0.3">
      <c r="A122" s="2">
        <v>42005</v>
      </c>
      <c r="B122">
        <v>2015</v>
      </c>
      <c r="C122">
        <v>1</v>
      </c>
      <c r="D122" s="5" t="s">
        <v>9</v>
      </c>
      <c r="E122" t="s">
        <v>13</v>
      </c>
      <c r="F122" t="s">
        <v>14</v>
      </c>
      <c r="G122" t="s">
        <v>15</v>
      </c>
      <c r="H122" t="s">
        <v>22</v>
      </c>
      <c r="I122">
        <v>46.77</v>
      </c>
      <c r="J122" s="8">
        <v>-5.0548112058465211E-2</v>
      </c>
      <c r="K122" s="8">
        <v>-5.0548112058465211E-2</v>
      </c>
      <c r="L122">
        <f t="shared" si="13"/>
        <v>-5.087311205846521E-2</v>
      </c>
      <c r="M122" t="str">
        <f>IF(COUNT(J122:J122)&lt;12,"",(AVERAGE(J122:J122)-N122)/STDEV(J122:J122))</f>
        <v/>
      </c>
      <c r="N122" s="15">
        <v>3.2499999999999999E-4</v>
      </c>
      <c r="O122" s="8">
        <f>(I122 - MAX(I122:I122)) / MAX(I122:I122)</f>
        <v>0</v>
      </c>
      <c r="P122" s="15">
        <v>6.5199999999999994E-2</v>
      </c>
    </row>
    <row r="123" spans="1:19" x14ac:dyDescent="0.3">
      <c r="A123" s="2">
        <v>42036</v>
      </c>
      <c r="B123">
        <v>2015</v>
      </c>
      <c r="C123">
        <v>2</v>
      </c>
      <c r="D123" s="5" t="s">
        <v>9</v>
      </c>
      <c r="E123" t="s">
        <v>13</v>
      </c>
      <c r="F123" t="s">
        <v>14</v>
      </c>
      <c r="G123" t="s">
        <v>15</v>
      </c>
      <c r="H123" t="s">
        <v>22</v>
      </c>
      <c r="I123">
        <v>52.09</v>
      </c>
      <c r="J123" s="8">
        <f t="shared" ref="J123:J154" si="26">(I123-I122)/I122</f>
        <v>0.11374812914261279</v>
      </c>
      <c r="K123" s="8">
        <f t="shared" ref="K123:K154" si="27">(K122+1)*(J123+1)-1</f>
        <v>5.7450263905806098E-2</v>
      </c>
      <c r="L123">
        <f t="shared" si="13"/>
        <v>0.11349612914261278</v>
      </c>
      <c r="M123" t="str">
        <f>IF(COUNT(J122:J123)&lt;12,"",(AVERAGE(J122:J123)-N123)/STDEV(J122:J123))</f>
        <v/>
      </c>
      <c r="N123" s="15">
        <v>2.52E-4</v>
      </c>
      <c r="O123" s="8">
        <f>(I123 - MAX(I122:I123)) / MAX(I122:I123)</f>
        <v>0</v>
      </c>
      <c r="P123" s="15">
        <v>7.3899999999999993E-2</v>
      </c>
    </row>
    <row r="124" spans="1:19" x14ac:dyDescent="0.3">
      <c r="A124" s="2">
        <v>42064</v>
      </c>
      <c r="B124">
        <v>2015</v>
      </c>
      <c r="C124">
        <v>3</v>
      </c>
      <c r="D124" s="5" t="s">
        <v>9</v>
      </c>
      <c r="E124" t="s">
        <v>13</v>
      </c>
      <c r="F124" t="s">
        <v>14</v>
      </c>
      <c r="G124" t="s">
        <v>15</v>
      </c>
      <c r="H124" t="s">
        <v>22</v>
      </c>
      <c r="I124">
        <v>56.57</v>
      </c>
      <c r="J124" s="8">
        <f t="shared" si="26"/>
        <v>8.6004991361105718E-2</v>
      </c>
      <c r="K124" s="8">
        <f t="shared" si="27"/>
        <v>0.14839626471782386</v>
      </c>
      <c r="L124">
        <f t="shared" si="13"/>
        <v>8.5815991361105723E-2</v>
      </c>
      <c r="M124" t="str">
        <f>IF(COUNT(J122:J124)&lt;12,"",(AVERAGE(J122:J124)-N124)/STDEV(J122:J124))</f>
        <v/>
      </c>
      <c r="N124" s="15">
        <v>1.8900000000000001E-4</v>
      </c>
      <c r="O124" s="8">
        <f>(I124 - MAX(I122:I124)) / MAX(I122:I124)</f>
        <v>0</v>
      </c>
      <c r="P124" s="15">
        <v>2.7300000000000001E-2</v>
      </c>
    </row>
    <row r="125" spans="1:19" x14ac:dyDescent="0.3">
      <c r="A125" s="2">
        <v>42095</v>
      </c>
      <c r="B125">
        <v>2015</v>
      </c>
      <c r="C125">
        <v>4</v>
      </c>
      <c r="D125" s="5" t="s">
        <v>9</v>
      </c>
      <c r="E125" t="s">
        <v>13</v>
      </c>
      <c r="F125" t="s">
        <v>14</v>
      </c>
      <c r="G125" t="s">
        <v>15</v>
      </c>
      <c r="H125" t="s">
        <v>22</v>
      </c>
      <c r="I125">
        <v>56.44</v>
      </c>
      <c r="J125" s="8">
        <f t="shared" si="26"/>
        <v>-2.2980378292381575E-3</v>
      </c>
      <c r="K125" s="8">
        <f t="shared" si="27"/>
        <v>0.14575720665854641</v>
      </c>
      <c r="L125">
        <f t="shared" si="13"/>
        <v>-2.4000378292381576E-3</v>
      </c>
      <c r="M125" t="str">
        <f>IF(COUNT(J122:J125)&lt;12,"",(AVERAGE(J122:J125)-N125)/STDEV(J122:J125))</f>
        <v/>
      </c>
      <c r="N125" s="15">
        <v>1.02E-4</v>
      </c>
      <c r="O125" s="8">
        <f>(I125 - MAX(I122:I125)) / MAX(I122:I125)</f>
        <v>-2.2980378292381575E-3</v>
      </c>
      <c r="P125" s="15">
        <v>-2.2100000000000002E-2</v>
      </c>
    </row>
    <row r="126" spans="1:19" x14ac:dyDescent="0.3">
      <c r="A126" s="2">
        <v>42125</v>
      </c>
      <c r="B126">
        <v>2015</v>
      </c>
      <c r="C126">
        <v>5</v>
      </c>
      <c r="D126" s="5" t="s">
        <v>9</v>
      </c>
      <c r="E126" t="s">
        <v>13</v>
      </c>
      <c r="F126" t="s">
        <v>14</v>
      </c>
      <c r="G126" t="s">
        <v>15</v>
      </c>
      <c r="H126" t="s">
        <v>22</v>
      </c>
      <c r="I126">
        <v>54.93</v>
      </c>
      <c r="J126" s="8">
        <f t="shared" si="26"/>
        <v>-2.675407512402548E-2</v>
      </c>
      <c r="K126" s="8">
        <f t="shared" si="27"/>
        <v>0.11510353227771009</v>
      </c>
      <c r="L126">
        <f t="shared" si="13"/>
        <v>-2.7217075124025481E-2</v>
      </c>
      <c r="M126" t="str">
        <f>IF(COUNT(J122:J126)&lt;12,"",(AVERAGE(J122:J126)-N126)/STDEV(J122:J126))</f>
        <v/>
      </c>
      <c r="N126" s="15">
        <v>4.6299999999999998E-4</v>
      </c>
      <c r="O126" s="8">
        <f>(I126 - MAX(I122:I126)) / MAX(I122:I126)</f>
        <v>-2.8990631076542348E-2</v>
      </c>
      <c r="P126" s="15">
        <v>-1.24E-2</v>
      </c>
    </row>
    <row r="127" spans="1:19" x14ac:dyDescent="0.3">
      <c r="A127" s="2">
        <v>42156</v>
      </c>
      <c r="B127">
        <v>2015</v>
      </c>
      <c r="C127">
        <v>6</v>
      </c>
      <c r="D127" s="5" t="s">
        <v>9</v>
      </c>
      <c r="E127" t="s">
        <v>13</v>
      </c>
      <c r="F127" t="s">
        <v>14</v>
      </c>
      <c r="G127" t="s">
        <v>15</v>
      </c>
      <c r="H127" t="s">
        <v>22</v>
      </c>
      <c r="I127">
        <v>54.15</v>
      </c>
      <c r="J127" s="8">
        <f t="shared" si="26"/>
        <v>-1.4199890770071021E-2</v>
      </c>
      <c r="K127" s="8">
        <f t="shared" si="27"/>
        <v>9.9269183922046311E-2</v>
      </c>
      <c r="L127">
        <f t="shared" si="13"/>
        <v>-1.4860890770071021E-2</v>
      </c>
      <c r="M127" t="str">
        <f>IF(COUNT(J122:J127)&lt;12,"",(AVERAGE(J122:J127)-N127)/STDEV(J122:J127))</f>
        <v/>
      </c>
      <c r="N127" s="15">
        <v>6.6100000000000002E-4</v>
      </c>
      <c r="O127" s="8">
        <f>(I127 - MAX(I122:I127)) / MAX(I122:I127)</f>
        <v>-4.2778858051971042E-2</v>
      </c>
      <c r="P127" s="15">
        <v>-4.0999999999999988E-2</v>
      </c>
    </row>
    <row r="128" spans="1:19" x14ac:dyDescent="0.3">
      <c r="A128" s="2">
        <v>42186</v>
      </c>
      <c r="B128">
        <v>2015</v>
      </c>
      <c r="C128">
        <v>7</v>
      </c>
      <c r="D128" s="5" t="s">
        <v>9</v>
      </c>
      <c r="E128" t="s">
        <v>13</v>
      </c>
      <c r="F128" t="s">
        <v>14</v>
      </c>
      <c r="G128" t="s">
        <v>15</v>
      </c>
      <c r="H128" t="s">
        <v>22</v>
      </c>
      <c r="I128">
        <v>59.31</v>
      </c>
      <c r="J128" s="8">
        <f t="shared" si="26"/>
        <v>9.5290858725761846E-2</v>
      </c>
      <c r="K128" s="8">
        <f t="shared" si="27"/>
        <v>0.20401948842874562</v>
      </c>
      <c r="L128">
        <f t="shared" si="13"/>
        <v>9.469885872576185E-2</v>
      </c>
      <c r="M128" t="str">
        <f>IF(COUNT(J122:J128)&lt;12,"",(AVERAGE(J122:J128)-N128)/STDEV(J122:J128))</f>
        <v/>
      </c>
      <c r="N128" s="15">
        <v>5.9199999999999997E-4</v>
      </c>
      <c r="O128" s="8">
        <f>(I128 - MAX(I122:I128)) / MAX(I122:I128)</f>
        <v>0</v>
      </c>
      <c r="P128" s="15">
        <v>5.1499999999999997E-2</v>
      </c>
    </row>
    <row r="129" spans="1:19" x14ac:dyDescent="0.3">
      <c r="A129" s="2">
        <v>42217</v>
      </c>
      <c r="B129">
        <v>2015</v>
      </c>
      <c r="C129">
        <v>8</v>
      </c>
      <c r="D129" s="5" t="s">
        <v>9</v>
      </c>
      <c r="E129" t="s">
        <v>13</v>
      </c>
      <c r="F129" t="s">
        <v>14</v>
      </c>
      <c r="G129" t="s">
        <v>15</v>
      </c>
      <c r="H129" t="s">
        <v>22</v>
      </c>
      <c r="I129">
        <v>56.27</v>
      </c>
      <c r="J129" s="8">
        <f t="shared" si="26"/>
        <v>-5.1256111954139254E-2</v>
      </c>
      <c r="K129" s="8">
        <f t="shared" si="27"/>
        <v>0.1423061307348763</v>
      </c>
      <c r="L129">
        <f t="shared" si="13"/>
        <v>-5.1763111954139254E-2</v>
      </c>
      <c r="M129" t="str">
        <f>IF(COUNT(J122:J129)&lt;12,"",(AVERAGE(J122:J129)-N129)/STDEV(J122:J129))</f>
        <v/>
      </c>
      <c r="N129" s="15">
        <v>5.0699999999999996E-4</v>
      </c>
      <c r="O129" s="8">
        <f>(I129 - MAX(I122:I129)) / MAX(I122:I129)</f>
        <v>-5.1256111954139254E-2</v>
      </c>
      <c r="P129" s="15">
        <v>-9.1899999999999996E-2</v>
      </c>
    </row>
    <row r="130" spans="1:19" x14ac:dyDescent="0.3">
      <c r="A130" s="2">
        <v>42248</v>
      </c>
      <c r="B130">
        <v>2015</v>
      </c>
      <c r="C130">
        <v>9</v>
      </c>
      <c r="D130" s="5" t="s">
        <v>9</v>
      </c>
      <c r="E130" t="s">
        <v>13</v>
      </c>
      <c r="F130" t="s">
        <v>14</v>
      </c>
      <c r="G130" t="s">
        <v>15</v>
      </c>
      <c r="H130" t="s">
        <v>22</v>
      </c>
      <c r="I130">
        <v>52.46</v>
      </c>
      <c r="J130" s="8">
        <f t="shared" si="26"/>
        <v>-6.7709258930158209E-2</v>
      </c>
      <c r="K130" s="8">
        <f t="shared" si="27"/>
        <v>6.4961429151441319E-2</v>
      </c>
      <c r="L130">
        <f t="shared" ref="L130:L193" si="28">J130-N130</f>
        <v>-6.8254258930158213E-2</v>
      </c>
      <c r="M130" t="str">
        <f>IF(COUNT(J122:J130)&lt;12,"",(AVERAGE(J122:J130)-N130)/STDEV(J122:J130))</f>
        <v/>
      </c>
      <c r="N130" s="15">
        <v>5.4500000000000002E-4</v>
      </c>
      <c r="O130" s="8">
        <f>(I130 - MAX(I122:I130)) / MAX(I122:I130)</f>
        <v>-0.11549485752824146</v>
      </c>
      <c r="P130" s="15">
        <v>-5.1700000000000003E-2</v>
      </c>
    </row>
    <row r="131" spans="1:19" x14ac:dyDescent="0.3">
      <c r="A131" s="2">
        <v>42278</v>
      </c>
      <c r="B131">
        <v>2015</v>
      </c>
      <c r="C131">
        <v>10</v>
      </c>
      <c r="D131" s="5" t="s">
        <v>9</v>
      </c>
      <c r="E131" t="s">
        <v>13</v>
      </c>
      <c r="F131" t="s">
        <v>14</v>
      </c>
      <c r="G131" t="s">
        <v>15</v>
      </c>
      <c r="H131" t="s">
        <v>22</v>
      </c>
      <c r="I131">
        <v>55.26</v>
      </c>
      <c r="J131" s="8">
        <f t="shared" si="26"/>
        <v>5.3373999237514243E-2</v>
      </c>
      <c r="K131" s="8">
        <f t="shared" si="27"/>
        <v>0.12180267965895242</v>
      </c>
      <c r="L131">
        <f t="shared" si="28"/>
        <v>5.2941999237514241E-2</v>
      </c>
      <c r="M131" t="str">
        <f>IF(COUNT(J122:J131)&lt;12,"",(AVERAGE(J122:J131)-N131)/STDEV(J122:J131))</f>
        <v/>
      </c>
      <c r="N131" s="15">
        <v>4.3199999999999998E-4</v>
      </c>
      <c r="O131" s="8">
        <f>(I131 - MAX(I122:I131)) / MAX(I122:I131)</f>
        <v>-6.8285280728376391E-2</v>
      </c>
      <c r="P131" s="15">
        <v>0.1024</v>
      </c>
    </row>
    <row r="132" spans="1:19" x14ac:dyDescent="0.3">
      <c r="A132" s="2">
        <v>42309</v>
      </c>
      <c r="B132">
        <v>2015</v>
      </c>
      <c r="C132">
        <v>11</v>
      </c>
      <c r="D132" s="5" t="s">
        <v>9</v>
      </c>
      <c r="E132" t="s">
        <v>13</v>
      </c>
      <c r="F132" t="s">
        <v>14</v>
      </c>
      <c r="G132" t="s">
        <v>15</v>
      </c>
      <c r="H132" t="s">
        <v>22</v>
      </c>
      <c r="I132">
        <v>56.11</v>
      </c>
      <c r="J132" s="8">
        <f t="shared" si="26"/>
        <v>1.5381831342743421E-2</v>
      </c>
      <c r="K132" s="8">
        <f t="shared" si="27"/>
        <v>0.13905805927730408</v>
      </c>
      <c r="L132">
        <f t="shared" si="28"/>
        <v>1.4951831342743421E-2</v>
      </c>
      <c r="M132" t="str">
        <f>IF(COUNT(J122:J132)&lt;12,"",(AVERAGE(J122:J132)-N132)/STDEV(J122:J132))</f>
        <v/>
      </c>
      <c r="N132" s="15">
        <v>4.2999999999999999E-4</v>
      </c>
      <c r="O132" s="8">
        <f>(I132 - MAX(I122:I132)) / MAX(I122:I132)</f>
        <v>-5.3953802056988749E-2</v>
      </c>
      <c r="P132" s="15">
        <v>2.58E-2</v>
      </c>
    </row>
    <row r="133" spans="1:19" x14ac:dyDescent="0.3">
      <c r="A133" s="2">
        <v>42339</v>
      </c>
      <c r="B133">
        <v>2015</v>
      </c>
      <c r="C133">
        <v>12</v>
      </c>
      <c r="D133" s="5" t="s">
        <v>9</v>
      </c>
      <c r="E133" t="s">
        <v>13</v>
      </c>
      <c r="F133" t="s">
        <v>14</v>
      </c>
      <c r="G133" t="s">
        <v>15</v>
      </c>
      <c r="H133" t="s">
        <v>22</v>
      </c>
      <c r="I133">
        <v>52.23</v>
      </c>
      <c r="J133" s="8">
        <f t="shared" si="26"/>
        <v>-6.9149884156121944E-2</v>
      </c>
      <c r="K133" s="8">
        <f t="shared" si="27"/>
        <v>6.0292326431181431E-2</v>
      </c>
      <c r="L133">
        <f t="shared" si="28"/>
        <v>-6.9604884156121941E-2</v>
      </c>
      <c r="M133">
        <f t="shared" ref="M133:M164" si="29">(AVERAGE(J122:J133)-AVERAGE(N122:N133))/STDEV(J122:J133)</f>
        <v>9.7648804017923002E-2</v>
      </c>
      <c r="N133" s="15">
        <v>4.55E-4</v>
      </c>
      <c r="O133" s="8">
        <f>(I133 - MAX(I122:I133)) / MAX(I122:I133)</f>
        <v>-0.11937278705108759</v>
      </c>
      <c r="P133" s="15">
        <v>-6.2300000000000001E-2</v>
      </c>
      <c r="Q133">
        <f t="shared" ref="Q133:Q164" si="30" xml:space="preserve"> _xlfn.COVARIANCE.P(J122:J133, P122:P133) / _xlfn.VAR.P(P122:P133)</f>
        <v>0.75833786566912653</v>
      </c>
      <c r="R133">
        <f t="shared" ref="R133:R164" si="31">AVERAGE(J122:J133)-(AVERAGE(N122:N133)+Q133*(AVERAGE(P122:P133)-AVERAGE(N122:N133)))</f>
        <v>2.635252210615455E-3</v>
      </c>
      <c r="S133" s="15">
        <f t="shared" ref="S133:S164" si="32">STDEV(J122:J133)</f>
        <v>6.5653167116959218E-2</v>
      </c>
    </row>
    <row r="134" spans="1:19" x14ac:dyDescent="0.3">
      <c r="A134" s="2">
        <v>42370</v>
      </c>
      <c r="B134">
        <v>2016</v>
      </c>
      <c r="C134">
        <v>1</v>
      </c>
      <c r="D134" s="5" t="s">
        <v>9</v>
      </c>
      <c r="E134" t="s">
        <v>13</v>
      </c>
      <c r="F134" t="s">
        <v>14</v>
      </c>
      <c r="G134" t="s">
        <v>15</v>
      </c>
      <c r="H134" t="s">
        <v>22</v>
      </c>
      <c r="I134">
        <v>43.73</v>
      </c>
      <c r="J134" s="8">
        <f t="shared" si="26"/>
        <v>-0.1627417193183994</v>
      </c>
      <c r="K134" s="8">
        <f t="shared" si="27"/>
        <v>-0.11226146975233464</v>
      </c>
      <c r="L134">
        <f t="shared" si="28"/>
        <v>-0.1631007193183994</v>
      </c>
      <c r="M134">
        <f t="shared" si="29"/>
        <v>-3.6400117735934497E-2</v>
      </c>
      <c r="N134" s="15">
        <v>3.59E-4</v>
      </c>
      <c r="O134" s="8">
        <f>(I134 - MAX(I122:I134)) / MAX(I122:I134)</f>
        <v>-0.26268757376496382</v>
      </c>
      <c r="P134" s="15">
        <v>-7.3899999999999993E-2</v>
      </c>
      <c r="Q134">
        <f t="shared" si="30"/>
        <v>1.1066113622933043</v>
      </c>
      <c r="R134">
        <f t="shared" si="31"/>
        <v>4.3795323288302584E-3</v>
      </c>
      <c r="S134" s="15">
        <f t="shared" si="32"/>
        <v>8.0805984677651085E-2</v>
      </c>
    </row>
    <row r="135" spans="1:19" x14ac:dyDescent="0.3">
      <c r="A135" s="2">
        <v>42401</v>
      </c>
      <c r="B135">
        <v>2016</v>
      </c>
      <c r="C135">
        <v>2</v>
      </c>
      <c r="D135" s="5" t="s">
        <v>9</v>
      </c>
      <c r="E135" t="s">
        <v>13</v>
      </c>
      <c r="F135" t="s">
        <v>14</v>
      </c>
      <c r="G135" t="s">
        <v>15</v>
      </c>
      <c r="H135" t="s">
        <v>22</v>
      </c>
      <c r="I135">
        <v>43</v>
      </c>
      <c r="J135" s="8">
        <f t="shared" si="26"/>
        <v>-1.6693345529384791E-2</v>
      </c>
      <c r="K135" s="8">
        <f t="shared" si="27"/>
        <v>-0.12708079577750719</v>
      </c>
      <c r="L135">
        <f t="shared" si="28"/>
        <v>-1.683734552938479E-2</v>
      </c>
      <c r="M135">
        <f t="shared" si="29"/>
        <v>-0.19159203656206536</v>
      </c>
      <c r="N135" s="15">
        <v>1.44E-4</v>
      </c>
      <c r="O135" s="8">
        <f>(I135 - MAX(I122:I135)) / MAX(I122:I135)</f>
        <v>-0.27499578485921433</v>
      </c>
      <c r="P135" s="15">
        <v>-3.2599999999999997E-2</v>
      </c>
      <c r="Q135">
        <f t="shared" si="30"/>
        <v>1.0302852271515914</v>
      </c>
      <c r="R135">
        <f t="shared" si="31"/>
        <v>2.1479763558818685E-3</v>
      </c>
      <c r="S135" s="15">
        <f t="shared" si="32"/>
        <v>7.2040939138389021E-2</v>
      </c>
    </row>
    <row r="136" spans="1:19" x14ac:dyDescent="0.3">
      <c r="A136" s="2">
        <v>42430</v>
      </c>
      <c r="B136">
        <v>2016</v>
      </c>
      <c r="C136">
        <v>3</v>
      </c>
      <c r="D136" s="5" t="s">
        <v>9</v>
      </c>
      <c r="E136" t="s">
        <v>13</v>
      </c>
      <c r="F136" t="s">
        <v>14</v>
      </c>
      <c r="G136" t="s">
        <v>15</v>
      </c>
      <c r="H136" t="s">
        <v>22</v>
      </c>
      <c r="I136">
        <v>44.23</v>
      </c>
      <c r="J136" s="8">
        <f t="shared" si="26"/>
        <v>2.8604651162790627E-2</v>
      </c>
      <c r="K136" s="8">
        <f t="shared" si="27"/>
        <v>-0.10211124644742198</v>
      </c>
      <c r="L136">
        <f t="shared" si="28"/>
        <v>2.8461651162790626E-2</v>
      </c>
      <c r="M136">
        <f t="shared" si="29"/>
        <v>-0.2792762792774906</v>
      </c>
      <c r="N136" s="15">
        <v>1.4300000000000001E-4</v>
      </c>
      <c r="O136" s="8">
        <f>(I136 - MAX(I122:I136)) / MAX(I122:I136)</f>
        <v>-0.25425729219355936</v>
      </c>
      <c r="P136" s="15">
        <v>2.01E-2</v>
      </c>
      <c r="Q136">
        <f t="shared" si="30"/>
        <v>0.96791825391073638</v>
      </c>
      <c r="R136">
        <f t="shared" si="31"/>
        <v>-3.0200508884140054E-3</v>
      </c>
      <c r="S136" s="15">
        <f t="shared" si="32"/>
        <v>6.6536258085722194E-2</v>
      </c>
    </row>
    <row r="137" spans="1:19" x14ac:dyDescent="0.3">
      <c r="A137" s="2">
        <v>42461</v>
      </c>
      <c r="B137">
        <v>2016</v>
      </c>
      <c r="C137">
        <v>4</v>
      </c>
      <c r="D137" s="5" t="s">
        <v>9</v>
      </c>
      <c r="E137" t="s">
        <v>13</v>
      </c>
      <c r="F137" t="s">
        <v>14</v>
      </c>
      <c r="G137" t="s">
        <v>15</v>
      </c>
      <c r="H137" t="s">
        <v>22</v>
      </c>
      <c r="I137">
        <v>46.24</v>
      </c>
      <c r="J137" s="8">
        <f t="shared" si="26"/>
        <v>4.5444268595975702E-2</v>
      </c>
      <c r="K137" s="8">
        <f t="shared" si="27"/>
        <v>-6.1307348761672764E-2</v>
      </c>
      <c r="L137">
        <f t="shared" si="28"/>
        <v>4.5332268595975701E-2</v>
      </c>
      <c r="M137">
        <f t="shared" si="29"/>
        <v>-0.21179293363719881</v>
      </c>
      <c r="N137" s="15">
        <v>1.12E-4</v>
      </c>
      <c r="O137" s="8">
        <f>(I137 - MAX(I122:I137)) / MAX(I122:I137)</f>
        <v>-0.22036756027651322</v>
      </c>
      <c r="P137" s="15">
        <v>7.7000000000000002E-3</v>
      </c>
      <c r="Q137">
        <f t="shared" si="30"/>
        <v>0.99756041918958427</v>
      </c>
      <c r="R137">
        <f t="shared" si="31"/>
        <v>-1.0422231041389979E-3</v>
      </c>
      <c r="S137" s="15">
        <f t="shared" si="32"/>
        <v>6.8955588566251974E-2</v>
      </c>
    </row>
    <row r="138" spans="1:19" x14ac:dyDescent="0.3">
      <c r="A138" s="2">
        <v>42491</v>
      </c>
      <c r="B138">
        <v>2016</v>
      </c>
      <c r="C138">
        <v>5</v>
      </c>
      <c r="D138" s="5" t="s">
        <v>9</v>
      </c>
      <c r="E138" t="s">
        <v>13</v>
      </c>
      <c r="F138" t="s">
        <v>14</v>
      </c>
      <c r="G138" t="s">
        <v>15</v>
      </c>
      <c r="H138" t="s">
        <v>22</v>
      </c>
      <c r="I138">
        <v>49.77</v>
      </c>
      <c r="J138" s="8">
        <f t="shared" si="26"/>
        <v>7.6340830449827007E-2</v>
      </c>
      <c r="K138" s="8">
        <f t="shared" si="27"/>
        <v>1.0353227771010998E-2</v>
      </c>
      <c r="L138">
        <f t="shared" si="28"/>
        <v>7.6229830449827007E-2</v>
      </c>
      <c r="M138">
        <f t="shared" si="29"/>
        <v>-8.1388485165363761E-2</v>
      </c>
      <c r="N138" s="15">
        <v>1.11E-4</v>
      </c>
      <c r="O138" s="8">
        <f>(I138 - MAX(I122:I138)) / MAX(I122:I138)</f>
        <v>-0.16084977238239756</v>
      </c>
      <c r="P138" s="15">
        <v>1.1599999999999999E-2</v>
      </c>
      <c r="Q138">
        <f t="shared" si="30"/>
        <v>1.0386593765492713</v>
      </c>
      <c r="R138">
        <f t="shared" si="31"/>
        <v>6.0293168655823426E-3</v>
      </c>
      <c r="S138" s="15">
        <f t="shared" si="32"/>
        <v>7.3520608185308242E-2</v>
      </c>
    </row>
    <row r="139" spans="1:19" x14ac:dyDescent="0.3">
      <c r="A139" s="2">
        <v>42522</v>
      </c>
      <c r="B139">
        <v>2016</v>
      </c>
      <c r="C139">
        <v>6</v>
      </c>
      <c r="D139" s="5" t="s">
        <v>9</v>
      </c>
      <c r="E139" t="s">
        <v>13</v>
      </c>
      <c r="F139" t="s">
        <v>14</v>
      </c>
      <c r="G139" t="s">
        <v>15</v>
      </c>
      <c r="H139" t="s">
        <v>22</v>
      </c>
      <c r="I139">
        <v>39.76</v>
      </c>
      <c r="J139" s="8">
        <f t="shared" si="26"/>
        <v>-0.20112517580872019</v>
      </c>
      <c r="K139" s="8">
        <f t="shared" si="27"/>
        <v>-0.19285424279334151</v>
      </c>
      <c r="L139">
        <f t="shared" si="28"/>
        <v>-0.20111117580872021</v>
      </c>
      <c r="M139">
        <f t="shared" si="29"/>
        <v>-0.2317687979714253</v>
      </c>
      <c r="N139" s="15">
        <v>-1.4E-5</v>
      </c>
      <c r="O139" s="8">
        <f>(I139 - MAX(I122:I139)) / MAX(I122:I139)</f>
        <v>-0.32962400944191544</v>
      </c>
      <c r="P139" s="15">
        <v>-6.4899999999999999E-2</v>
      </c>
      <c r="Q139">
        <f t="shared" si="30"/>
        <v>1.2449233542523139</v>
      </c>
      <c r="R139">
        <f t="shared" si="31"/>
        <v>-4.6964628349806664E-3</v>
      </c>
      <c r="S139" s="15">
        <f t="shared" si="32"/>
        <v>9.2784655240106428E-2</v>
      </c>
    </row>
    <row r="140" spans="1:19" x14ac:dyDescent="0.3">
      <c r="A140" s="2">
        <v>42552</v>
      </c>
      <c r="B140">
        <v>2016</v>
      </c>
      <c r="C140">
        <v>7</v>
      </c>
      <c r="D140" s="5" t="s">
        <v>9</v>
      </c>
      <c r="E140" t="s">
        <v>13</v>
      </c>
      <c r="F140" t="s">
        <v>14</v>
      </c>
      <c r="G140" t="s">
        <v>15</v>
      </c>
      <c r="H140" t="s">
        <v>22</v>
      </c>
      <c r="I140">
        <v>44.35</v>
      </c>
      <c r="J140" s="8">
        <f t="shared" si="26"/>
        <v>0.11544265593561377</v>
      </c>
      <c r="K140" s="8">
        <f t="shared" si="27"/>
        <v>-9.9675192854242756E-2</v>
      </c>
      <c r="L140">
        <f t="shared" si="28"/>
        <v>0.11557165593561378</v>
      </c>
      <c r="M140">
        <f t="shared" si="29"/>
        <v>-0.20754239630898397</v>
      </c>
      <c r="N140" s="15">
        <v>-1.2899999999999999E-4</v>
      </c>
      <c r="O140" s="8">
        <f>(I140 - MAX(I122:I140)) / MAX(I122:I140)</f>
        <v>-0.25223402461642219</v>
      </c>
      <c r="P140" s="15">
        <v>4.3999999999999997E-2</v>
      </c>
      <c r="Q140">
        <f t="shared" si="30"/>
        <v>1.2835697577881109</v>
      </c>
      <c r="R140">
        <f t="shared" si="31"/>
        <v>-1.7101751422178985E-3</v>
      </c>
      <c r="S140" s="15">
        <f t="shared" si="32"/>
        <v>9.523446100274853E-2</v>
      </c>
    </row>
    <row r="141" spans="1:19" x14ac:dyDescent="0.3">
      <c r="A141" s="2">
        <v>42583</v>
      </c>
      <c r="B141">
        <v>2016</v>
      </c>
      <c r="C141">
        <v>8</v>
      </c>
      <c r="D141" s="5" t="s">
        <v>9</v>
      </c>
      <c r="E141" t="s">
        <v>13</v>
      </c>
      <c r="F141" t="s">
        <v>14</v>
      </c>
      <c r="G141" t="s">
        <v>15</v>
      </c>
      <c r="H141" t="s">
        <v>22</v>
      </c>
      <c r="I141">
        <v>45.6</v>
      </c>
      <c r="J141" s="8">
        <f t="shared" si="26"/>
        <v>2.8184892897406989E-2</v>
      </c>
      <c r="K141" s="8">
        <f t="shared" si="27"/>
        <v>-7.4299634591961095E-2</v>
      </c>
      <c r="L141">
        <f t="shared" si="28"/>
        <v>2.8294892897406988E-2</v>
      </c>
      <c r="M141">
        <f t="shared" si="29"/>
        <v>-0.13698144249943342</v>
      </c>
      <c r="N141" s="15">
        <v>-1.1E-4</v>
      </c>
      <c r="O141" s="8">
        <f>(I141 - MAX(I122:I141)) / MAX(I122:I141)</f>
        <v>-0.23115832068791098</v>
      </c>
      <c r="P141" s="15">
        <v>1.0800000000000001E-2</v>
      </c>
      <c r="Q141">
        <f t="shared" si="30"/>
        <v>1.4848913824592231</v>
      </c>
      <c r="R141">
        <f t="shared" si="31"/>
        <v>-4.9913780150206526E-3</v>
      </c>
      <c r="S141" s="15">
        <f t="shared" si="32"/>
        <v>9.5587311715333703E-2</v>
      </c>
    </row>
    <row r="142" spans="1:19" x14ac:dyDescent="0.3">
      <c r="A142" s="2">
        <v>42614</v>
      </c>
      <c r="B142">
        <v>2016</v>
      </c>
      <c r="C142">
        <v>9</v>
      </c>
      <c r="D142" s="5" t="s">
        <v>9</v>
      </c>
      <c r="E142" t="s">
        <v>13</v>
      </c>
      <c r="F142" t="s">
        <v>14</v>
      </c>
      <c r="G142" t="s">
        <v>15</v>
      </c>
      <c r="H142" t="s">
        <v>22</v>
      </c>
      <c r="I142">
        <v>45.77</v>
      </c>
      <c r="J142" s="8">
        <f t="shared" si="26"/>
        <v>3.7280701754386337E-3</v>
      </c>
      <c r="K142" s="8">
        <f t="shared" si="27"/>
        <v>-7.0848558668290873E-2</v>
      </c>
      <c r="L142">
        <f t="shared" si="28"/>
        <v>3.7980701754386339E-3</v>
      </c>
      <c r="M142">
        <f t="shared" si="29"/>
        <v>-7.5358074016768681E-2</v>
      </c>
      <c r="N142" s="15">
        <v>-6.9999999999999994E-5</v>
      </c>
      <c r="O142" s="8">
        <f>(I142 - MAX(I122:I142)) / MAX(I122:I142)</f>
        <v>-0.22829202495363343</v>
      </c>
      <c r="P142" s="15">
        <v>-6.8999999999999999E-3</v>
      </c>
      <c r="Q142">
        <f t="shared" si="30"/>
        <v>1.5062533242272218</v>
      </c>
      <c r="R142">
        <f t="shared" si="31"/>
        <v>-4.5709970476121003E-3</v>
      </c>
      <c r="S142" s="15">
        <f t="shared" si="32"/>
        <v>9.4075215922213504E-2</v>
      </c>
    </row>
    <row r="143" spans="1:19" x14ac:dyDescent="0.3">
      <c r="A143" s="2">
        <v>42644</v>
      </c>
      <c r="B143">
        <v>2016</v>
      </c>
      <c r="C143">
        <v>10</v>
      </c>
      <c r="D143" s="5" t="s">
        <v>9</v>
      </c>
      <c r="E143" t="s">
        <v>13</v>
      </c>
      <c r="F143" t="s">
        <v>14</v>
      </c>
      <c r="G143" t="s">
        <v>15</v>
      </c>
      <c r="H143" t="s">
        <v>22</v>
      </c>
      <c r="I143">
        <v>52.84</v>
      </c>
      <c r="J143" s="8">
        <f t="shared" si="26"/>
        <v>0.15446799213458598</v>
      </c>
      <c r="K143" s="8">
        <f t="shared" si="27"/>
        <v>7.2675598863174873E-2</v>
      </c>
      <c r="L143">
        <f t="shared" si="28"/>
        <v>0.15446599213458598</v>
      </c>
      <c r="M143">
        <f t="shared" si="29"/>
        <v>1.3186210266701396E-2</v>
      </c>
      <c r="N143" s="15">
        <v>1.9999999999999999E-6</v>
      </c>
      <c r="O143" s="8">
        <f>(I143 - MAX(I122:I143)) / MAX(I122:I143)</f>
        <v>-0.10908784353397401</v>
      </c>
      <c r="P143" s="15">
        <v>1.77E-2</v>
      </c>
      <c r="Q143">
        <f t="shared" si="30"/>
        <v>2.3193710288980438</v>
      </c>
      <c r="R143">
        <f t="shared" si="31"/>
        <v>2.1536583786647953E-2</v>
      </c>
      <c r="S143" s="15">
        <f t="shared" si="32"/>
        <v>0.10397268275594936</v>
      </c>
    </row>
    <row r="144" spans="1:19" x14ac:dyDescent="0.3">
      <c r="A144" s="2">
        <v>42675</v>
      </c>
      <c r="B144">
        <v>2016</v>
      </c>
      <c r="C144">
        <v>11</v>
      </c>
      <c r="D144" s="5" t="s">
        <v>9</v>
      </c>
      <c r="E144" t="s">
        <v>13</v>
      </c>
      <c r="F144" t="s">
        <v>14</v>
      </c>
      <c r="G144" t="s">
        <v>15</v>
      </c>
      <c r="H144" t="s">
        <v>22</v>
      </c>
      <c r="I144">
        <v>54.78</v>
      </c>
      <c r="J144" s="8">
        <f t="shared" si="26"/>
        <v>3.6714610143830387E-2</v>
      </c>
      <c r="K144" s="8">
        <f t="shared" si="27"/>
        <v>0.1120584652862362</v>
      </c>
      <c r="L144">
        <f t="shared" si="28"/>
        <v>3.6556610143830388E-2</v>
      </c>
      <c r="M144">
        <f t="shared" si="29"/>
        <v>3.0373582076241148E-2</v>
      </c>
      <c r="N144" s="15">
        <v>1.5799999999999999E-4</v>
      </c>
      <c r="O144" s="8">
        <f>(I144 - MAX(I122:I144)) / MAX(I122:I144)</f>
        <v>-7.6378351036924655E-2</v>
      </c>
      <c r="P144" s="15">
        <v>-1.1999999999999999E-3</v>
      </c>
      <c r="Q144">
        <f t="shared" si="30"/>
        <v>2.4787449131910395</v>
      </c>
      <c r="R144">
        <f t="shared" si="31"/>
        <v>3.0243636145881131E-2</v>
      </c>
      <c r="S144" s="15">
        <f t="shared" si="32"/>
        <v>0.10441323260049844</v>
      </c>
    </row>
    <row r="145" spans="1:19" x14ac:dyDescent="0.3">
      <c r="A145" s="2">
        <v>42705</v>
      </c>
      <c r="B145">
        <v>2016</v>
      </c>
      <c r="C145">
        <v>12</v>
      </c>
      <c r="D145" s="5" t="s">
        <v>9</v>
      </c>
      <c r="E145" t="s">
        <v>13</v>
      </c>
      <c r="F145" t="s">
        <v>14</v>
      </c>
      <c r="G145" t="s">
        <v>15</v>
      </c>
      <c r="H145" t="s">
        <v>22</v>
      </c>
      <c r="I145">
        <v>60.55</v>
      </c>
      <c r="J145" s="8">
        <f t="shared" si="26"/>
        <v>0.10533041255932815</v>
      </c>
      <c r="K145" s="8">
        <f t="shared" si="27"/>
        <v>0.22919204222492873</v>
      </c>
      <c r="L145">
        <f t="shared" si="28"/>
        <v>0.10512041255932815</v>
      </c>
      <c r="M145">
        <f t="shared" si="29"/>
        <v>0.16798795128779362</v>
      </c>
      <c r="N145" s="15">
        <v>2.1000000000000001E-4</v>
      </c>
      <c r="O145" s="8">
        <f>(I145 - MAX(I122:I145)) / MAX(I122:I145)</f>
        <v>0</v>
      </c>
      <c r="P145" s="15">
        <v>7.8299999999999995E-2</v>
      </c>
      <c r="Q145">
        <f t="shared" si="30"/>
        <v>2.19118757356877</v>
      </c>
      <c r="R145">
        <f t="shared" si="31"/>
        <v>1.5945297014874668E-2</v>
      </c>
      <c r="S145" s="15">
        <f t="shared" si="32"/>
        <v>0.10555426831066726</v>
      </c>
    </row>
    <row r="146" spans="1:19" x14ac:dyDescent="0.3">
      <c r="A146" s="2">
        <v>42736</v>
      </c>
      <c r="B146">
        <v>2017</v>
      </c>
      <c r="C146">
        <v>1</v>
      </c>
      <c r="D146" s="5" t="s">
        <v>9</v>
      </c>
      <c r="E146" t="s">
        <v>13</v>
      </c>
      <c r="F146" t="s">
        <v>14</v>
      </c>
      <c r="G146" t="s">
        <v>15</v>
      </c>
      <c r="H146" t="s">
        <v>22</v>
      </c>
      <c r="I146">
        <v>59.18</v>
      </c>
      <c r="J146" s="8">
        <f t="shared" si="26"/>
        <v>-2.2625928984310446E-2</v>
      </c>
      <c r="K146" s="8">
        <f t="shared" si="27"/>
        <v>0.20138043036946796</v>
      </c>
      <c r="L146">
        <f t="shared" si="28"/>
        <v>-2.2834928984310447E-2</v>
      </c>
      <c r="M146">
        <f t="shared" si="29"/>
        <v>0.32533111807627019</v>
      </c>
      <c r="N146" s="15">
        <v>2.0900000000000001E-4</v>
      </c>
      <c r="O146" s="8">
        <f>(I146 - MAX(I122:I146)) / MAX(I122:I146)</f>
        <v>-2.2625928984310446E-2</v>
      </c>
      <c r="P146" s="15">
        <v>-1.8200000000000001E-2</v>
      </c>
      <c r="Q146">
        <f t="shared" si="30"/>
        <v>2.0968251096928476</v>
      </c>
      <c r="R146">
        <f t="shared" si="31"/>
        <v>1.7952076206900126E-2</v>
      </c>
      <c r="S146" s="15">
        <f t="shared" si="32"/>
        <v>9.0432975850369829E-2</v>
      </c>
    </row>
    <row r="147" spans="1:19" x14ac:dyDescent="0.3">
      <c r="A147" s="2">
        <v>42767</v>
      </c>
      <c r="B147">
        <v>2017</v>
      </c>
      <c r="C147">
        <v>2</v>
      </c>
      <c r="D147" s="5" t="s">
        <v>9</v>
      </c>
      <c r="E147" t="s">
        <v>13</v>
      </c>
      <c r="F147" t="s">
        <v>14</v>
      </c>
      <c r="G147" t="s">
        <v>15</v>
      </c>
      <c r="H147" t="s">
        <v>22</v>
      </c>
      <c r="I147">
        <v>55.13</v>
      </c>
      <c r="J147" s="8">
        <f t="shared" si="26"/>
        <v>-6.8435282189928989E-2</v>
      </c>
      <c r="K147" s="8">
        <f t="shared" si="27"/>
        <v>0.11916362159967497</v>
      </c>
      <c r="L147">
        <f t="shared" si="28"/>
        <v>-6.8650282189928996E-2</v>
      </c>
      <c r="M147">
        <f t="shared" si="29"/>
        <v>0.26705760291748648</v>
      </c>
      <c r="N147" s="15">
        <v>2.1499999999999999E-4</v>
      </c>
      <c r="O147" s="8">
        <f>(I147 - MAX(I122:I147)) / MAX(I122:I147)</f>
        <v>-8.9512799339388854E-2</v>
      </c>
      <c r="P147" s="15">
        <v>2.75E-2</v>
      </c>
      <c r="Q147">
        <f t="shared" si="30"/>
        <v>2.021744201941241</v>
      </c>
      <c r="R147">
        <f t="shared" si="31"/>
        <v>3.9313796186079622E-3</v>
      </c>
      <c r="S147" s="15">
        <f t="shared" si="32"/>
        <v>9.3998134291684091E-2</v>
      </c>
    </row>
    <row r="148" spans="1:19" x14ac:dyDescent="0.3">
      <c r="A148" s="2">
        <v>42795</v>
      </c>
      <c r="B148">
        <v>2017</v>
      </c>
      <c r="C148">
        <v>3</v>
      </c>
      <c r="D148" s="5" t="s">
        <v>9</v>
      </c>
      <c r="E148" t="s">
        <v>13</v>
      </c>
      <c r="F148" t="s">
        <v>14</v>
      </c>
      <c r="G148" t="s">
        <v>15</v>
      </c>
      <c r="H148" t="s">
        <v>22</v>
      </c>
      <c r="I148">
        <v>62.43</v>
      </c>
      <c r="J148" s="8">
        <f t="shared" si="26"/>
        <v>0.13241429348811892</v>
      </c>
      <c r="K148" s="8">
        <f t="shared" si="27"/>
        <v>0.2673568818514005</v>
      </c>
      <c r="L148">
        <f t="shared" si="28"/>
        <v>0.13212429348811891</v>
      </c>
      <c r="M148">
        <f t="shared" si="29"/>
        <v>0.34086704856839961</v>
      </c>
      <c r="N148" s="15">
        <v>2.9E-4</v>
      </c>
      <c r="O148" s="8">
        <f>(I148 - MAX(I122:I148)) / MAX(I122:I148)</f>
        <v>0</v>
      </c>
      <c r="P148" s="15">
        <v>5.4600000000000003E-2</v>
      </c>
      <c r="Q148">
        <f t="shared" si="30"/>
        <v>2.0792390466056494</v>
      </c>
      <c r="R148">
        <f t="shared" si="31"/>
        <v>6.0155103429596936E-3</v>
      </c>
      <c r="S148" s="15">
        <f t="shared" si="32"/>
        <v>9.8987186034771982E-2</v>
      </c>
    </row>
    <row r="149" spans="1:19" x14ac:dyDescent="0.3">
      <c r="A149" s="2">
        <v>42826</v>
      </c>
      <c r="B149">
        <v>2017</v>
      </c>
      <c r="C149">
        <v>4</v>
      </c>
      <c r="D149" s="5" t="s">
        <v>9</v>
      </c>
      <c r="E149" t="s">
        <v>13</v>
      </c>
      <c r="F149" t="s">
        <v>14</v>
      </c>
      <c r="G149" t="s">
        <v>15</v>
      </c>
      <c r="H149" t="s">
        <v>22</v>
      </c>
      <c r="I149">
        <v>64.78</v>
      </c>
      <c r="J149" s="8">
        <f t="shared" si="26"/>
        <v>3.7642159218324547E-2</v>
      </c>
      <c r="K149" s="8">
        <f t="shared" si="27"/>
        <v>0.31506293138449015</v>
      </c>
      <c r="L149">
        <f t="shared" si="28"/>
        <v>3.7454159218324547E-2</v>
      </c>
      <c r="M149">
        <f t="shared" si="29"/>
        <v>0.33442959417799684</v>
      </c>
      <c r="N149" s="15">
        <v>1.8799999999999999E-4</v>
      </c>
      <c r="O149" s="8">
        <f>(I149 - MAX(I122:I149)) / MAX(I122:I149)</f>
        <v>0</v>
      </c>
      <c r="P149" s="15">
        <v>1.6799999999999999E-2</v>
      </c>
      <c r="Q149">
        <f t="shared" si="30"/>
        <v>2.0889319277644991</v>
      </c>
      <c r="R149">
        <f t="shared" si="31"/>
        <v>3.6588730791836492E-3</v>
      </c>
      <c r="S149" s="15">
        <f t="shared" si="32"/>
        <v>9.8929524811582362E-2</v>
      </c>
    </row>
    <row r="150" spans="1:19" x14ac:dyDescent="0.3">
      <c r="A150" s="2">
        <v>42856</v>
      </c>
      <c r="B150">
        <v>2017</v>
      </c>
      <c r="C150">
        <v>5</v>
      </c>
      <c r="D150" s="5" t="s">
        <v>9</v>
      </c>
      <c r="E150" t="s">
        <v>13</v>
      </c>
      <c r="F150" t="s">
        <v>14</v>
      </c>
      <c r="G150" t="s">
        <v>15</v>
      </c>
      <c r="H150" t="s">
        <v>22</v>
      </c>
      <c r="I150">
        <v>62.82</v>
      </c>
      <c r="J150" s="8">
        <f t="shared" si="26"/>
        <v>-3.0256251929607916E-2</v>
      </c>
      <c r="K150" s="8">
        <f t="shared" si="27"/>
        <v>0.27527405602923238</v>
      </c>
      <c r="L150">
        <f t="shared" si="28"/>
        <v>-3.0536251929607915E-2</v>
      </c>
      <c r="M150">
        <f t="shared" si="29"/>
        <v>0.24312932048856387</v>
      </c>
      <c r="N150" s="15">
        <v>2.7999999999999998E-4</v>
      </c>
      <c r="O150" s="8">
        <f>(I150 - MAX(I122:I150)) / MAX(I122:I150)</f>
        <v>-3.0256251929607916E-2</v>
      </c>
      <c r="P150" s="15">
        <v>-1.4E-3</v>
      </c>
      <c r="Q150">
        <f t="shared" si="30"/>
        <v>2.1234826147836947</v>
      </c>
      <c r="R150">
        <f t="shared" si="31"/>
        <v>-3.3946592507391182E-3</v>
      </c>
      <c r="S150" s="15">
        <f t="shared" si="32"/>
        <v>9.9485274975206928E-2</v>
      </c>
    </row>
    <row r="151" spans="1:19" x14ac:dyDescent="0.3">
      <c r="A151" s="2">
        <v>42887</v>
      </c>
      <c r="B151">
        <v>2017</v>
      </c>
      <c r="C151">
        <v>6</v>
      </c>
      <c r="D151" s="5" t="s">
        <v>9</v>
      </c>
      <c r="E151" t="s">
        <v>13</v>
      </c>
      <c r="F151" t="s">
        <v>14</v>
      </c>
      <c r="G151" t="s">
        <v>15</v>
      </c>
      <c r="H151" t="s">
        <v>22</v>
      </c>
      <c r="I151">
        <v>63.06</v>
      </c>
      <c r="J151" s="8">
        <f t="shared" si="26"/>
        <v>3.820439350525342E-3</v>
      </c>
      <c r="K151" s="8">
        <f t="shared" si="27"/>
        <v>0.2801461632155906</v>
      </c>
      <c r="L151">
        <f t="shared" si="28"/>
        <v>3.611439350525342E-3</v>
      </c>
      <c r="M151">
        <f t="shared" si="29"/>
        <v>0.58345576916348951</v>
      </c>
      <c r="N151" s="15">
        <v>2.0900000000000001E-4</v>
      </c>
      <c r="O151" s="8">
        <f>(I151 - MAX(I122:I151)) / MAX(I122:I151)</f>
        <v>-2.6551404754553858E-2</v>
      </c>
      <c r="P151" s="15">
        <v>-3.1699999999999999E-2</v>
      </c>
      <c r="Q151">
        <f t="shared" si="30"/>
        <v>1.353722139670684</v>
      </c>
      <c r="R151">
        <f t="shared" si="31"/>
        <v>1.9944028680566338E-2</v>
      </c>
      <c r="S151" s="15">
        <f t="shared" si="32"/>
        <v>7.0696027725315108E-2</v>
      </c>
    </row>
    <row r="152" spans="1:19" x14ac:dyDescent="0.3">
      <c r="A152" s="2">
        <v>42917</v>
      </c>
      <c r="B152">
        <v>2017</v>
      </c>
      <c r="C152">
        <v>7</v>
      </c>
      <c r="D152" s="5" t="s">
        <v>9</v>
      </c>
      <c r="E152" t="s">
        <v>13</v>
      </c>
      <c r="F152" t="s">
        <v>14</v>
      </c>
      <c r="G152" t="s">
        <v>15</v>
      </c>
      <c r="H152" t="s">
        <v>22</v>
      </c>
      <c r="I152">
        <v>65.569999999999993</v>
      </c>
      <c r="J152" s="8">
        <f t="shared" si="26"/>
        <v>3.9803361877576764E-2</v>
      </c>
      <c r="K152" s="8">
        <f t="shared" si="27"/>
        <v>0.33110028420625226</v>
      </c>
      <c r="L152">
        <f t="shared" si="28"/>
        <v>3.9423361877576765E-2</v>
      </c>
      <c r="M152">
        <f t="shared" si="29"/>
        <v>0.5228555362334294</v>
      </c>
      <c r="N152" s="15">
        <v>3.8000000000000002E-4</v>
      </c>
      <c r="O152" s="8">
        <f>(I152 - MAX(I122:I152)) / MAX(I122:I152)</f>
        <v>0</v>
      </c>
      <c r="P152" s="15">
        <v>2.2000000000000001E-3</v>
      </c>
      <c r="Q152">
        <f t="shared" si="30"/>
        <v>1.2244646034817306</v>
      </c>
      <c r="R152">
        <f t="shared" si="31"/>
        <v>1.9949662517639917E-2</v>
      </c>
      <c r="S152" s="15">
        <f t="shared" si="32"/>
        <v>6.6753264798924974E-2</v>
      </c>
    </row>
    <row r="153" spans="1:19" x14ac:dyDescent="0.3">
      <c r="A153" s="2">
        <v>42948</v>
      </c>
      <c r="B153">
        <v>2017</v>
      </c>
      <c r="C153">
        <v>8</v>
      </c>
      <c r="D153" s="5" t="s">
        <v>9</v>
      </c>
      <c r="E153" t="s">
        <v>13</v>
      </c>
      <c r="F153" t="s">
        <v>14</v>
      </c>
      <c r="G153" t="s">
        <v>15</v>
      </c>
      <c r="H153" t="s">
        <v>22</v>
      </c>
      <c r="I153">
        <v>63.91</v>
      </c>
      <c r="J153" s="8">
        <f t="shared" si="26"/>
        <v>-2.5316455696202483E-2</v>
      </c>
      <c r="K153" s="8">
        <f t="shared" si="27"/>
        <v>0.29740154283394227</v>
      </c>
      <c r="L153">
        <f t="shared" si="28"/>
        <v>-2.5604455696202483E-2</v>
      </c>
      <c r="M153">
        <f t="shared" si="29"/>
        <v>0.4407132997544948</v>
      </c>
      <c r="N153" s="15">
        <v>2.8800000000000001E-4</v>
      </c>
      <c r="O153" s="8">
        <f>(I153 - MAX(I122:I153)) / MAX(I122:I153)</f>
        <v>-2.5316455696202483E-2</v>
      </c>
      <c r="P153" s="15">
        <v>-8.1000000000000013E-3</v>
      </c>
      <c r="Q153">
        <f t="shared" si="30"/>
        <v>1.2878935679241041</v>
      </c>
      <c r="R153">
        <f t="shared" si="31"/>
        <v>1.6754629555953995E-2</v>
      </c>
      <c r="S153" s="15">
        <f t="shared" si="32"/>
        <v>6.9003367259199852E-2</v>
      </c>
    </row>
    <row r="154" spans="1:19" x14ac:dyDescent="0.3">
      <c r="A154" s="2">
        <v>42979</v>
      </c>
      <c r="B154">
        <v>2017</v>
      </c>
      <c r="C154">
        <v>9</v>
      </c>
      <c r="D154" s="5" t="s">
        <v>9</v>
      </c>
      <c r="E154" t="s">
        <v>13</v>
      </c>
      <c r="F154" t="s">
        <v>14</v>
      </c>
      <c r="G154" t="s">
        <v>15</v>
      </c>
      <c r="H154" t="s">
        <v>22</v>
      </c>
      <c r="I154">
        <v>68.25</v>
      </c>
      <c r="J154" s="8">
        <f t="shared" si="26"/>
        <v>6.7907995618839048E-2</v>
      </c>
      <c r="K154" s="8">
        <f t="shared" si="27"/>
        <v>0.38550548112058469</v>
      </c>
      <c r="L154">
        <f t="shared" si="28"/>
        <v>6.7618995618839051E-2</v>
      </c>
      <c r="M154">
        <f t="shared" si="29"/>
        <v>0.51618600395851599</v>
      </c>
      <c r="N154" s="15">
        <v>2.8899999999999998E-4</v>
      </c>
      <c r="O154" s="8">
        <f>(I154 - MAX(I122:I154)) / MAX(I122:I154)</f>
        <v>0</v>
      </c>
      <c r="P154" s="15">
        <v>5.0700000000000002E-2</v>
      </c>
      <c r="Q154">
        <f t="shared" si="30"/>
        <v>1.2370165409719145</v>
      </c>
      <c r="R154">
        <f t="shared" si="31"/>
        <v>1.6711838339958207E-2</v>
      </c>
      <c r="S154" s="15">
        <f t="shared" si="32"/>
        <v>6.9217514342875056E-2</v>
      </c>
    </row>
    <row r="155" spans="1:19" x14ac:dyDescent="0.3">
      <c r="A155" s="2">
        <v>43009</v>
      </c>
      <c r="B155">
        <v>2017</v>
      </c>
      <c r="C155">
        <v>10</v>
      </c>
      <c r="D155" s="5" t="s">
        <v>9</v>
      </c>
      <c r="E155" t="s">
        <v>13</v>
      </c>
      <c r="F155" t="s">
        <v>14</v>
      </c>
      <c r="G155" t="s">
        <v>15</v>
      </c>
      <c r="H155" t="s">
        <v>22</v>
      </c>
      <c r="I155">
        <v>67.040000000000006</v>
      </c>
      <c r="J155" s="8">
        <f t="shared" ref="J155:J186" si="33">(I155-I154)/I154</f>
        <v>-1.7728937728937636E-2</v>
      </c>
      <c r="K155" s="8">
        <f t="shared" ref="K155:K186" si="34">(K154+1)*(J155+1)-1</f>
        <v>0.36094194072269592</v>
      </c>
      <c r="L155">
        <f t="shared" si="28"/>
        <v>-1.8038937728937637E-2</v>
      </c>
      <c r="M155">
        <f t="shared" si="29"/>
        <v>0.35831195257252269</v>
      </c>
      <c r="N155" s="15">
        <v>3.1E-4</v>
      </c>
      <c r="O155" s="8">
        <f>(I155 - MAX(I122:I155)) / MAX(I122:I155)</f>
        <v>-1.7728937728937636E-2</v>
      </c>
      <c r="P155" s="15">
        <v>1.8700000000000001E-2</v>
      </c>
      <c r="Q155">
        <f t="shared" si="30"/>
        <v>1.2016904637000956</v>
      </c>
      <c r="R155">
        <f t="shared" si="31"/>
        <v>2.8102154835295233E-3</v>
      </c>
      <c r="S155" s="15">
        <f t="shared" si="32"/>
        <v>5.9595280473675065E-2</v>
      </c>
    </row>
    <row r="156" spans="1:19" x14ac:dyDescent="0.3">
      <c r="A156" s="2">
        <v>43040</v>
      </c>
      <c r="B156">
        <v>2017</v>
      </c>
      <c r="C156">
        <v>11</v>
      </c>
      <c r="D156" s="5" t="s">
        <v>9</v>
      </c>
      <c r="E156" t="s">
        <v>13</v>
      </c>
      <c r="F156" t="s">
        <v>14</v>
      </c>
      <c r="G156" t="s">
        <v>15</v>
      </c>
      <c r="H156" t="s">
        <v>22</v>
      </c>
      <c r="I156">
        <v>63.58</v>
      </c>
      <c r="J156" s="8">
        <f t="shared" si="33"/>
        <v>-5.161097852028651E-2</v>
      </c>
      <c r="K156" s="8">
        <f t="shared" si="34"/>
        <v>0.29070239545269971</v>
      </c>
      <c r="L156">
        <f t="shared" si="28"/>
        <v>-5.186797852028651E-2</v>
      </c>
      <c r="M156">
        <f t="shared" si="29"/>
        <v>0.22226181128674141</v>
      </c>
      <c r="N156" s="15">
        <v>2.5700000000000001E-4</v>
      </c>
      <c r="O156" s="8">
        <f>(I156 - MAX(I122:I156)) / MAX(I122:I156)</f>
        <v>-6.8424908424908448E-2</v>
      </c>
      <c r="P156" s="15">
        <v>-2.52E-2</v>
      </c>
      <c r="Q156">
        <f t="shared" si="30"/>
        <v>1.3154220631857803</v>
      </c>
      <c r="R156">
        <f t="shared" si="31"/>
        <v>-3.671815147017558E-3</v>
      </c>
      <c r="S156" s="15">
        <f t="shared" si="32"/>
        <v>6.2921225682705251E-2</v>
      </c>
    </row>
    <row r="157" spans="1:19" x14ac:dyDescent="0.3">
      <c r="A157" s="2">
        <v>43070</v>
      </c>
      <c r="B157">
        <v>2017</v>
      </c>
      <c r="C157">
        <v>12</v>
      </c>
      <c r="D157" s="5" t="s">
        <v>9</v>
      </c>
      <c r="E157" t="s">
        <v>13</v>
      </c>
      <c r="F157" t="s">
        <v>14</v>
      </c>
      <c r="G157" t="s">
        <v>15</v>
      </c>
      <c r="H157" t="s">
        <v>22</v>
      </c>
      <c r="I157">
        <v>62.25</v>
      </c>
      <c r="J157" s="8">
        <f t="shared" si="33"/>
        <v>-2.0918527838943039E-2</v>
      </c>
      <c r="K157" s="8">
        <f t="shared" si="34"/>
        <v>0.26370280146163205</v>
      </c>
      <c r="L157">
        <f t="shared" si="28"/>
        <v>-2.116552783894304E-2</v>
      </c>
      <c r="M157">
        <f t="shared" si="29"/>
        <v>6.1218527586328189E-2</v>
      </c>
      <c r="N157" s="15">
        <v>2.4699999999999999E-4</v>
      </c>
      <c r="O157" s="8">
        <f>(I157 - MAX(I122:I157)) / MAX(I122:I157)</f>
        <v>-8.7912087912087919E-2</v>
      </c>
      <c r="P157" s="15">
        <v>-1.8499999999999999E-2</v>
      </c>
      <c r="Q157">
        <f t="shared" si="30"/>
        <v>1.2466461517099103</v>
      </c>
      <c r="R157">
        <f t="shared" si="31"/>
        <v>-3.2123474023644668E-3</v>
      </c>
      <c r="S157" s="15">
        <f t="shared" si="32"/>
        <v>5.6537740428606369E-2</v>
      </c>
    </row>
    <row r="158" spans="1:19" x14ac:dyDescent="0.3">
      <c r="A158" s="2">
        <v>43101</v>
      </c>
      <c r="B158">
        <v>2018</v>
      </c>
      <c r="C158">
        <v>1</v>
      </c>
      <c r="D158" s="5" t="s">
        <v>9</v>
      </c>
      <c r="E158" t="s">
        <v>13</v>
      </c>
      <c r="F158" t="s">
        <v>14</v>
      </c>
      <c r="G158" t="s">
        <v>15</v>
      </c>
      <c r="H158" t="s">
        <v>22</v>
      </c>
      <c r="I158">
        <v>66.599999999999994</v>
      </c>
      <c r="J158" s="8">
        <f t="shared" si="33"/>
        <v>6.9879518072289065E-2</v>
      </c>
      <c r="K158" s="8">
        <f t="shared" si="34"/>
        <v>0.35200974421437259</v>
      </c>
      <c r="L158">
        <f t="shared" si="28"/>
        <v>6.9484518072289059E-2</v>
      </c>
      <c r="M158">
        <f t="shared" si="29"/>
        <v>0.18945539994899782</v>
      </c>
      <c r="N158" s="15">
        <v>3.9500000000000001E-4</v>
      </c>
      <c r="O158" s="8">
        <f>(I158 - MAX(I122:I158)) / MAX(I122:I158)</f>
        <v>-2.417582417582426E-2</v>
      </c>
      <c r="P158" s="15">
        <v>3.0099999999999998E-2</v>
      </c>
      <c r="Q158">
        <f t="shared" si="30"/>
        <v>1.3402146984863317</v>
      </c>
      <c r="R158">
        <f t="shared" si="31"/>
        <v>-1.3935390068807695E-3</v>
      </c>
      <c r="S158" s="15">
        <f t="shared" si="32"/>
        <v>5.8876360767846928E-2</v>
      </c>
    </row>
    <row r="159" spans="1:19" x14ac:dyDescent="0.3">
      <c r="A159" s="2">
        <v>43132</v>
      </c>
      <c r="B159">
        <v>2018</v>
      </c>
      <c r="C159">
        <v>2</v>
      </c>
      <c r="D159" s="5" t="s">
        <v>9</v>
      </c>
      <c r="E159" t="s">
        <v>13</v>
      </c>
      <c r="F159" t="s">
        <v>14</v>
      </c>
      <c r="G159" t="s">
        <v>15</v>
      </c>
      <c r="H159" t="s">
        <v>22</v>
      </c>
      <c r="I159">
        <v>65.37</v>
      </c>
      <c r="J159" s="8">
        <f t="shared" si="33"/>
        <v>-1.8468468468468318E-2</v>
      </c>
      <c r="K159" s="8">
        <f t="shared" si="34"/>
        <v>0.32704019488428759</v>
      </c>
      <c r="L159">
        <f t="shared" si="28"/>
        <v>-1.9017468468468319E-2</v>
      </c>
      <c r="M159">
        <f t="shared" si="29"/>
        <v>0.28157435293461919</v>
      </c>
      <c r="N159" s="15">
        <v>5.4900000000000001E-4</v>
      </c>
      <c r="O159" s="8">
        <f>(I159 - MAX(I122:I159)) / MAX(I122:I159)</f>
        <v>-4.2197802197802128E-2</v>
      </c>
      <c r="P159" s="15">
        <v>-4.7199999999999999E-2</v>
      </c>
      <c r="Q159">
        <f t="shared" si="30"/>
        <v>1.3542346582448468</v>
      </c>
      <c r="R159">
        <f t="shared" si="31"/>
        <v>1.1079068205570555E-2</v>
      </c>
      <c r="S159" s="15">
        <f t="shared" si="32"/>
        <v>5.4303639971379325E-2</v>
      </c>
    </row>
    <row r="160" spans="1:19" x14ac:dyDescent="0.3">
      <c r="A160" s="2">
        <v>43160</v>
      </c>
      <c r="B160">
        <v>2018</v>
      </c>
      <c r="C160">
        <v>3</v>
      </c>
      <c r="D160" s="5" t="s">
        <v>9</v>
      </c>
      <c r="E160" t="s">
        <v>13</v>
      </c>
      <c r="F160" t="s">
        <v>14</v>
      </c>
      <c r="G160" t="s">
        <v>15</v>
      </c>
      <c r="H160" t="s">
        <v>22</v>
      </c>
      <c r="I160">
        <v>60.17</v>
      </c>
      <c r="J160" s="8">
        <f t="shared" si="33"/>
        <v>-7.9547192901942829E-2</v>
      </c>
      <c r="K160" s="8">
        <f t="shared" si="34"/>
        <v>0.2214778725131954</v>
      </c>
      <c r="L160">
        <f t="shared" si="28"/>
        <v>-7.9988192901942826E-2</v>
      </c>
      <c r="M160">
        <f t="shared" si="29"/>
        <v>-5.0964989197147717E-2</v>
      </c>
      <c r="N160" s="15">
        <v>4.4099999999999999E-4</v>
      </c>
      <c r="O160" s="8">
        <f>(I160 - MAX(I122:I160)) / MAX(I122:I160)</f>
        <v>-0.11838827838827837</v>
      </c>
      <c r="P160" s="15">
        <v>-2.2499999999999999E-2</v>
      </c>
      <c r="Q160">
        <f t="shared" si="30"/>
        <v>1.176032666687912</v>
      </c>
      <c r="R160">
        <f t="shared" si="31"/>
        <v>1.5280144610012019E-3</v>
      </c>
      <c r="S160" s="15">
        <f t="shared" si="32"/>
        <v>4.6807196138933055E-2</v>
      </c>
    </row>
    <row r="161" spans="1:19" x14ac:dyDescent="0.3">
      <c r="A161" s="2">
        <v>43191</v>
      </c>
      <c r="B161">
        <v>2018</v>
      </c>
      <c r="C161">
        <v>4</v>
      </c>
      <c r="D161" s="5" t="s">
        <v>9</v>
      </c>
      <c r="E161" t="s">
        <v>13</v>
      </c>
      <c r="F161" t="s">
        <v>14</v>
      </c>
      <c r="G161" t="s">
        <v>15</v>
      </c>
      <c r="H161" t="s">
        <v>22</v>
      </c>
      <c r="I161">
        <v>63.98</v>
      </c>
      <c r="J161" s="8">
        <f t="shared" si="33"/>
        <v>6.3320591656971834E-2</v>
      </c>
      <c r="K161" s="8">
        <f t="shared" si="34"/>
        <v>0.29882257409663016</v>
      </c>
      <c r="L161">
        <f t="shared" si="28"/>
        <v>6.2920591656971836E-2</v>
      </c>
      <c r="M161">
        <f t="shared" si="29"/>
        <v>-5.3404514549495984E-3</v>
      </c>
      <c r="N161" s="15">
        <v>4.0000000000000002E-4</v>
      </c>
      <c r="O161" s="8">
        <f>(I161 - MAX(I122:I161)) / MAX(I122:I161)</f>
        <v>-6.2564102564102608E-2</v>
      </c>
      <c r="P161" s="15">
        <v>5.21E-2</v>
      </c>
      <c r="Q161">
        <f t="shared" si="30"/>
        <v>1.1542565473293014</v>
      </c>
      <c r="R161">
        <f t="shared" si="31"/>
        <v>2.0270553863531578E-4</v>
      </c>
      <c r="S161" s="15">
        <f t="shared" si="32"/>
        <v>4.9307730735916662E-2</v>
      </c>
    </row>
    <row r="162" spans="1:19" x14ac:dyDescent="0.3">
      <c r="A162" s="2">
        <v>43221</v>
      </c>
      <c r="B162">
        <v>2018</v>
      </c>
      <c r="C162">
        <v>5</v>
      </c>
      <c r="D162" s="5" t="s">
        <v>9</v>
      </c>
      <c r="E162" t="s">
        <v>13</v>
      </c>
      <c r="F162" t="s">
        <v>14</v>
      </c>
      <c r="G162" t="s">
        <v>15</v>
      </c>
      <c r="H162" t="s">
        <v>22</v>
      </c>
      <c r="I162">
        <v>53.06</v>
      </c>
      <c r="J162" s="8">
        <f t="shared" si="33"/>
        <v>-0.17067833698030627</v>
      </c>
      <c r="K162" s="8">
        <f t="shared" si="34"/>
        <v>7.7141697117336872E-2</v>
      </c>
      <c r="L162">
        <f t="shared" si="28"/>
        <v>-0.17105333698030625</v>
      </c>
      <c r="M162">
        <f t="shared" si="29"/>
        <v>-0.17194448310261379</v>
      </c>
      <c r="N162" s="15">
        <v>3.7500000000000001E-4</v>
      </c>
      <c r="O162" s="8">
        <f>(I162 - MAX(I122:I162)) / MAX(I122:I162)</f>
        <v>-0.22256410256410253</v>
      </c>
      <c r="P162" s="15">
        <v>-3.6700000000000003E-2</v>
      </c>
      <c r="Q162">
        <f t="shared" si="30"/>
        <v>1.5023973156479336</v>
      </c>
      <c r="R162">
        <f t="shared" si="31"/>
        <v>-6.9350436314343511E-3</v>
      </c>
      <c r="S162" s="15">
        <f t="shared" si="32"/>
        <v>6.963342128727526E-2</v>
      </c>
    </row>
    <row r="163" spans="1:19" x14ac:dyDescent="0.3">
      <c r="A163" s="2">
        <v>43252</v>
      </c>
      <c r="B163">
        <v>2018</v>
      </c>
      <c r="C163">
        <v>6</v>
      </c>
      <c r="D163" s="5" t="s">
        <v>9</v>
      </c>
      <c r="E163" t="s">
        <v>13</v>
      </c>
      <c r="F163" t="s">
        <v>14</v>
      </c>
      <c r="G163" t="s">
        <v>15</v>
      </c>
      <c r="H163" t="s">
        <v>22</v>
      </c>
      <c r="I163">
        <v>53.19</v>
      </c>
      <c r="J163" s="8">
        <f t="shared" si="33"/>
        <v>2.4500565397662165E-3</v>
      </c>
      <c r="K163" s="8">
        <f t="shared" si="34"/>
        <v>7.9780755176614093E-2</v>
      </c>
      <c r="L163">
        <f t="shared" si="28"/>
        <v>2.1770565397662162E-3</v>
      </c>
      <c r="M163">
        <f t="shared" si="29"/>
        <v>-0.17372723570215634</v>
      </c>
      <c r="N163" s="15">
        <v>2.7300000000000002E-4</v>
      </c>
      <c r="O163" s="8">
        <f>(I163 - MAX(I122:I163)) / MAX(I122:I163)</f>
        <v>-0.2206593406593407</v>
      </c>
      <c r="P163" s="15">
        <v>-3.2000000000000002E-3</v>
      </c>
      <c r="Q163">
        <f t="shared" si="30"/>
        <v>1.6550541288380001</v>
      </c>
      <c r="R163">
        <f t="shared" si="31"/>
        <v>-1.04645929527367E-2</v>
      </c>
      <c r="S163" s="15">
        <f t="shared" si="32"/>
        <v>6.9606901197320908E-2</v>
      </c>
    </row>
    <row r="164" spans="1:19" x14ac:dyDescent="0.3">
      <c r="A164" s="2">
        <v>43282</v>
      </c>
      <c r="B164">
        <v>2018</v>
      </c>
      <c r="C164">
        <v>7</v>
      </c>
      <c r="D164" s="5" t="s">
        <v>9</v>
      </c>
      <c r="E164" t="s">
        <v>13</v>
      </c>
      <c r="F164" t="s">
        <v>14</v>
      </c>
      <c r="G164" t="s">
        <v>15</v>
      </c>
      <c r="H164" t="s">
        <v>22</v>
      </c>
      <c r="I164">
        <v>55.67</v>
      </c>
      <c r="J164" s="8">
        <f t="shared" si="33"/>
        <v>4.6625305508554316E-2</v>
      </c>
      <c r="K164" s="8">
        <f t="shared" si="34"/>
        <v>0.13012586276898119</v>
      </c>
      <c r="L164">
        <f t="shared" si="28"/>
        <v>4.6396305508554316E-2</v>
      </c>
      <c r="M164">
        <f t="shared" si="29"/>
        <v>-0.16423390457587664</v>
      </c>
      <c r="N164" s="15">
        <v>2.2900000000000001E-4</v>
      </c>
      <c r="O164" s="8">
        <f>(I164 - MAX(I122:I164)) / MAX(I122:I164)</f>
        <v>-0.18432234432234429</v>
      </c>
      <c r="P164" s="15">
        <v>3.8300000000000001E-2</v>
      </c>
      <c r="Q164">
        <f t="shared" si="30"/>
        <v>1.639004186674383</v>
      </c>
      <c r="R164">
        <f t="shared" si="31"/>
        <v>-1.4850597174191273E-2</v>
      </c>
      <c r="S164" s="15">
        <f t="shared" si="32"/>
        <v>7.0092323047525884E-2</v>
      </c>
    </row>
    <row r="165" spans="1:19" x14ac:dyDescent="0.3">
      <c r="A165" s="2">
        <v>43313</v>
      </c>
      <c r="B165">
        <v>2018</v>
      </c>
      <c r="C165">
        <v>8</v>
      </c>
      <c r="D165" s="5" t="s">
        <v>9</v>
      </c>
      <c r="E165" t="s">
        <v>13</v>
      </c>
      <c r="F165" t="s">
        <v>14</v>
      </c>
      <c r="G165" t="s">
        <v>15</v>
      </c>
      <c r="H165" t="s">
        <v>22</v>
      </c>
      <c r="I165">
        <v>50.58</v>
      </c>
      <c r="J165" s="8">
        <f t="shared" si="33"/>
        <v>-9.1431650799353392E-2</v>
      </c>
      <c r="K165" s="8">
        <f t="shared" si="34"/>
        <v>2.6796589524969772E-2</v>
      </c>
      <c r="L165">
        <f t="shared" si="28"/>
        <v>-9.1673650799353398E-2</v>
      </c>
      <c r="M165">
        <f t="shared" ref="M165:M196" si="35">(AVERAGE(J154:J165)-AVERAGE(N154:N165))/STDEV(J154:J165)</f>
        <v>-0.23057044664260729</v>
      </c>
      <c r="N165" s="15">
        <v>2.42E-4</v>
      </c>
      <c r="O165" s="8">
        <f>(I165 - MAX(I122:I165)) / MAX(I122:I165)</f>
        <v>-0.25890109890109891</v>
      </c>
      <c r="P165" s="15">
        <v>-3.7599999999999988E-2</v>
      </c>
      <c r="Q165">
        <f t="shared" ref="Q165:Q196" si="36" xml:space="preserve"> _xlfn.COVARIANCE.P(J154:J165, P154:P165) / _xlfn.VAR.P(P154:P165)</f>
        <v>1.6788396848870366</v>
      </c>
      <c r="R165">
        <f t="shared" ref="R165:R196" si="37">AVERAGE(J154:J165)-(AVERAGE(N154:N165)+Q165*(AVERAGE(P154:P165)-AVERAGE(N154:N165)))</f>
        <v>-1.631680629496568E-2</v>
      </c>
      <c r="S165" s="15">
        <f t="shared" ref="S165:S196" si="38">STDEV(J154:J165)</f>
        <v>7.3805218323848065E-2</v>
      </c>
    </row>
    <row r="166" spans="1:19" x14ac:dyDescent="0.3">
      <c r="A166" s="2">
        <v>43344</v>
      </c>
      <c r="B166">
        <v>2018</v>
      </c>
      <c r="C166">
        <v>9</v>
      </c>
      <c r="D166" s="5" t="s">
        <v>9</v>
      </c>
      <c r="E166" t="s">
        <v>13</v>
      </c>
      <c r="F166" t="s">
        <v>14</v>
      </c>
      <c r="G166" t="s">
        <v>15</v>
      </c>
      <c r="H166" t="s">
        <v>22</v>
      </c>
      <c r="I166">
        <v>52.71</v>
      </c>
      <c r="J166" s="8">
        <f t="shared" si="33"/>
        <v>4.2111506524317964E-2</v>
      </c>
      <c r="K166" s="8">
        <f t="shared" si="34"/>
        <v>7.0036540803898095E-2</v>
      </c>
      <c r="L166">
        <f t="shared" si="28"/>
        <v>4.1802506524317967E-2</v>
      </c>
      <c r="M166">
        <f t="shared" si="35"/>
        <v>-0.26825980274713401</v>
      </c>
      <c r="N166" s="15">
        <v>3.0899999999999998E-4</v>
      </c>
      <c r="O166" s="8">
        <f>(I166 - MAX(I122:I166)) / MAX(I122:I166)</f>
        <v>-0.22769230769230767</v>
      </c>
      <c r="P166" s="15">
        <v>1.9E-3</v>
      </c>
      <c r="Q166">
        <f t="shared" si="36"/>
        <v>1.7105972026964174</v>
      </c>
      <c r="R166">
        <f t="shared" si="37"/>
        <v>-1.1495649942233212E-2</v>
      </c>
      <c r="S166" s="15">
        <f t="shared" si="38"/>
        <v>7.1455641316353249E-2</v>
      </c>
    </row>
    <row r="167" spans="1:19" x14ac:dyDescent="0.3">
      <c r="A167" s="2">
        <v>43374</v>
      </c>
      <c r="B167">
        <v>2018</v>
      </c>
      <c r="C167">
        <v>10</v>
      </c>
      <c r="D167" s="5" t="s">
        <v>9</v>
      </c>
      <c r="E167" t="s">
        <v>13</v>
      </c>
      <c r="F167" t="s">
        <v>14</v>
      </c>
      <c r="G167" t="s">
        <v>15</v>
      </c>
      <c r="H167" t="s">
        <v>22</v>
      </c>
      <c r="I167">
        <v>46.13</v>
      </c>
      <c r="J167" s="8">
        <f t="shared" si="33"/>
        <v>-0.12483399734395748</v>
      </c>
      <c r="K167" s="8">
        <f t="shared" si="34"/>
        <v>-6.3540397888753208E-2</v>
      </c>
      <c r="L167">
        <f t="shared" si="28"/>
        <v>-0.12516699734395748</v>
      </c>
      <c r="M167">
        <f t="shared" si="35"/>
        <v>-0.36150403034617112</v>
      </c>
      <c r="N167" s="15">
        <v>3.3300000000000002E-4</v>
      </c>
      <c r="O167" s="8">
        <f>(I167 - MAX(I122:I167)) / MAX(I122:I167)</f>
        <v>-0.32410256410256405</v>
      </c>
      <c r="P167" s="15">
        <v>-5.9299999999999999E-2</v>
      </c>
      <c r="Q167">
        <f t="shared" si="36"/>
        <v>1.8331246279299533</v>
      </c>
      <c r="R167">
        <f t="shared" si="37"/>
        <v>-7.9545576965661773E-3</v>
      </c>
      <c r="S167" s="15">
        <f t="shared" si="38"/>
        <v>7.7719782319002617E-2</v>
      </c>
    </row>
    <row r="168" spans="1:19" x14ac:dyDescent="0.3">
      <c r="A168" s="2">
        <v>43405</v>
      </c>
      <c r="B168">
        <v>2018</v>
      </c>
      <c r="C168">
        <v>11</v>
      </c>
      <c r="D168" s="5" t="s">
        <v>9</v>
      </c>
      <c r="E168" t="s">
        <v>13</v>
      </c>
      <c r="F168" t="s">
        <v>14</v>
      </c>
      <c r="G168" t="s">
        <v>15</v>
      </c>
      <c r="H168" t="s">
        <v>22</v>
      </c>
      <c r="I168">
        <v>44.38</v>
      </c>
      <c r="J168" s="8">
        <f t="shared" si="33"/>
        <v>-3.7936267071320182E-2</v>
      </c>
      <c r="K168" s="8">
        <f t="shared" si="34"/>
        <v>-9.9066179455947645E-2</v>
      </c>
      <c r="L168">
        <f t="shared" si="28"/>
        <v>-3.819826707132018E-2</v>
      </c>
      <c r="M168">
        <f t="shared" si="35"/>
        <v>-0.34810911550270746</v>
      </c>
      <c r="N168" s="15">
        <v>2.6200000000000003E-4</v>
      </c>
      <c r="O168" s="8">
        <f>(I168 - MAX(I122:I168)) / MAX(I122:I168)</f>
        <v>-0.34974358974358971</v>
      </c>
      <c r="P168" s="15">
        <v>-7.6E-3</v>
      </c>
      <c r="Q168">
        <f t="shared" si="36"/>
        <v>1.8346202685963982</v>
      </c>
      <c r="R168">
        <f t="shared" si="37"/>
        <v>-9.4889936928258881E-3</v>
      </c>
      <c r="S168" s="15">
        <f t="shared" si="38"/>
        <v>7.7437994940956045E-2</v>
      </c>
    </row>
    <row r="169" spans="1:19" x14ac:dyDescent="0.3">
      <c r="A169" s="2">
        <v>43435</v>
      </c>
      <c r="B169">
        <v>2018</v>
      </c>
      <c r="C169">
        <v>12</v>
      </c>
      <c r="D169" s="5" t="s">
        <v>9</v>
      </c>
      <c r="E169" t="s">
        <v>13</v>
      </c>
      <c r="F169" t="s">
        <v>14</v>
      </c>
      <c r="G169" t="s">
        <v>15</v>
      </c>
      <c r="H169" t="s">
        <v>22</v>
      </c>
      <c r="I169">
        <v>39.479999999999997</v>
      </c>
      <c r="J169" s="8">
        <f t="shared" si="33"/>
        <v>-0.11041009463722409</v>
      </c>
      <c r="K169" s="8">
        <f t="shared" si="34"/>
        <v>-0.19853836784409229</v>
      </c>
      <c r="L169">
        <f t="shared" si="28"/>
        <v>-0.1105660946372241</v>
      </c>
      <c r="M169">
        <f t="shared" si="35"/>
        <v>-0.42444422026442002</v>
      </c>
      <c r="N169" s="15">
        <v>1.56E-4</v>
      </c>
      <c r="O169" s="8">
        <f>(I169 - MAX(I122:I169)) / MAX(I122:I169)</f>
        <v>-0.42153846153846158</v>
      </c>
      <c r="P169" s="15">
        <v>-5.8799999999999998E-2</v>
      </c>
      <c r="Q169">
        <f t="shared" si="36"/>
        <v>1.8219808666380135</v>
      </c>
      <c r="R169">
        <f t="shared" si="37"/>
        <v>-1.0954381443024925E-2</v>
      </c>
      <c r="S169" s="15">
        <f t="shared" si="38"/>
        <v>8.1063464916437386E-2</v>
      </c>
    </row>
    <row r="170" spans="1:19" x14ac:dyDescent="0.3">
      <c r="A170" s="2">
        <v>43466</v>
      </c>
      <c r="B170">
        <v>2019</v>
      </c>
      <c r="C170">
        <v>1</v>
      </c>
      <c r="D170" s="5" t="s">
        <v>9</v>
      </c>
      <c r="E170" t="s">
        <v>13</v>
      </c>
      <c r="F170" t="s">
        <v>14</v>
      </c>
      <c r="G170" t="s">
        <v>15</v>
      </c>
      <c r="H170" t="s">
        <v>22</v>
      </c>
      <c r="I170">
        <v>40.97</v>
      </c>
      <c r="J170" s="8">
        <f t="shared" si="33"/>
        <v>3.7740628166160133E-2</v>
      </c>
      <c r="K170" s="8">
        <f t="shared" si="34"/>
        <v>-0.16829070239545241</v>
      </c>
      <c r="L170">
        <f t="shared" si="28"/>
        <v>3.7629628166160133E-2</v>
      </c>
      <c r="M170">
        <f t="shared" si="35"/>
        <v>-0.47648452880897285</v>
      </c>
      <c r="N170" s="15">
        <v>1.11E-4</v>
      </c>
      <c r="O170" s="8">
        <f>(I170 - MAX(I122:I170)) / MAX(I122:I170)</f>
        <v>-0.39970695970695974</v>
      </c>
      <c r="P170" s="15">
        <v>5.79E-2</v>
      </c>
      <c r="Q170">
        <f t="shared" si="36"/>
        <v>1.5610832435504605</v>
      </c>
      <c r="R170">
        <f t="shared" si="37"/>
        <v>-2.0620684957241252E-2</v>
      </c>
      <c r="S170" s="15">
        <f t="shared" si="38"/>
        <v>7.778110531704549E-2</v>
      </c>
    </row>
    <row r="171" spans="1:19" x14ac:dyDescent="0.3">
      <c r="A171" s="2">
        <v>43497</v>
      </c>
      <c r="B171">
        <v>2019</v>
      </c>
      <c r="C171">
        <v>2</v>
      </c>
      <c r="D171" s="5" t="s">
        <v>9</v>
      </c>
      <c r="E171" t="s">
        <v>13</v>
      </c>
      <c r="F171" t="s">
        <v>14</v>
      </c>
      <c r="G171" t="s">
        <v>15</v>
      </c>
      <c r="H171" t="s">
        <v>22</v>
      </c>
      <c r="I171">
        <v>45.05</v>
      </c>
      <c r="J171" s="8">
        <f t="shared" si="33"/>
        <v>9.9585062240663866E-2</v>
      </c>
      <c r="K171" s="8">
        <f t="shared" si="34"/>
        <v>-8.5464880227364759E-2</v>
      </c>
      <c r="L171">
        <f t="shared" si="28"/>
        <v>9.9539062240663861E-2</v>
      </c>
      <c r="M171">
        <f t="shared" si="35"/>
        <v>-0.31171870978057364</v>
      </c>
      <c r="N171" s="15">
        <v>4.6E-5</v>
      </c>
      <c r="O171" s="8">
        <f>(I171 - MAX(I122:I171)) / MAX(I122:I171)</f>
        <v>-0.33992673992674</v>
      </c>
      <c r="P171" s="15">
        <v>4.3899999999999988E-2</v>
      </c>
      <c r="Q171">
        <f t="shared" si="36"/>
        <v>1.8556456089088333</v>
      </c>
      <c r="R171">
        <f t="shared" si="37"/>
        <v>-2.1803966813053948E-2</v>
      </c>
      <c r="S171" s="15">
        <f t="shared" si="38"/>
        <v>8.7199714267840192E-2</v>
      </c>
    </row>
    <row r="172" spans="1:19" x14ac:dyDescent="0.3">
      <c r="A172" s="2">
        <v>43525</v>
      </c>
      <c r="B172">
        <v>2019</v>
      </c>
      <c r="C172">
        <v>3</v>
      </c>
      <c r="D172" s="5" t="s">
        <v>9</v>
      </c>
      <c r="E172" t="s">
        <v>13</v>
      </c>
      <c r="F172" t="s">
        <v>14</v>
      </c>
      <c r="G172" t="s">
        <v>15</v>
      </c>
      <c r="H172" t="s">
        <v>22</v>
      </c>
      <c r="I172">
        <v>42.61</v>
      </c>
      <c r="J172" s="8">
        <f t="shared" si="33"/>
        <v>-5.4162042175360664E-2</v>
      </c>
      <c r="K172" s="8">
        <f t="shared" si="34"/>
        <v>-0.13499796995533875</v>
      </c>
      <c r="L172">
        <f t="shared" si="28"/>
        <v>-5.4171042175360666E-2</v>
      </c>
      <c r="M172">
        <f t="shared" si="35"/>
        <v>-0.29068577861031181</v>
      </c>
      <c r="N172" s="15">
        <v>9.0000000000000002E-6</v>
      </c>
      <c r="O172" s="8">
        <f>(I172 - MAX(I122:I172)) / MAX(I122:I172)</f>
        <v>-0.37567765567765571</v>
      </c>
      <c r="P172" s="15">
        <v>1.6199999999999999E-2</v>
      </c>
      <c r="Q172">
        <f t="shared" si="36"/>
        <v>1.7872851638494265</v>
      </c>
      <c r="R172">
        <f t="shared" si="37"/>
        <v>-2.5678988771637663E-2</v>
      </c>
      <c r="S172" s="15">
        <f t="shared" si="38"/>
        <v>8.6107938672658257E-2</v>
      </c>
    </row>
    <row r="173" spans="1:19" x14ac:dyDescent="0.3">
      <c r="A173" s="2">
        <v>43556</v>
      </c>
      <c r="B173">
        <v>2019</v>
      </c>
      <c r="C173">
        <v>4</v>
      </c>
      <c r="D173" s="5" t="s">
        <v>9</v>
      </c>
      <c r="E173" t="s">
        <v>13</v>
      </c>
      <c r="F173" t="s">
        <v>14</v>
      </c>
      <c r="G173" t="s">
        <v>15</v>
      </c>
      <c r="H173" t="s">
        <v>22</v>
      </c>
      <c r="I173">
        <v>47.45</v>
      </c>
      <c r="J173" s="8">
        <f t="shared" si="33"/>
        <v>0.11358835954001416</v>
      </c>
      <c r="K173" s="8">
        <f t="shared" si="34"/>
        <v>-3.6743808363783548E-2</v>
      </c>
      <c r="L173">
        <f t="shared" si="28"/>
        <v>0.11362135954001416</v>
      </c>
      <c r="M173">
        <f t="shared" si="35"/>
        <v>-0.22659265654935518</v>
      </c>
      <c r="N173" s="15">
        <v>-3.3000000000000003E-5</v>
      </c>
      <c r="O173" s="8">
        <f>(I173 - MAX(I122:I173)) / MAX(I122:I173)</f>
        <v>-0.30476190476190473</v>
      </c>
      <c r="P173" s="15">
        <v>4.8599999999999997E-2</v>
      </c>
      <c r="Q173">
        <f t="shared" si="36"/>
        <v>1.9303730592335153</v>
      </c>
      <c r="R173">
        <f t="shared" si="37"/>
        <v>-2.1012482582361512E-2</v>
      </c>
      <c r="S173" s="15">
        <f t="shared" si="38"/>
        <v>9.1818020602116995E-2</v>
      </c>
    </row>
    <row r="174" spans="1:19" x14ac:dyDescent="0.3">
      <c r="A174" s="2">
        <v>43586</v>
      </c>
      <c r="B174">
        <v>2019</v>
      </c>
      <c r="C174">
        <v>5</v>
      </c>
      <c r="D174" s="5" t="s">
        <v>9</v>
      </c>
      <c r="E174" t="s">
        <v>13</v>
      </c>
      <c r="F174" t="s">
        <v>14</v>
      </c>
      <c r="G174" t="s">
        <v>15</v>
      </c>
      <c r="H174" t="s">
        <v>22</v>
      </c>
      <c r="I174">
        <v>40.880000000000003</v>
      </c>
      <c r="J174" s="8">
        <f t="shared" si="33"/>
        <v>-0.13846153846153847</v>
      </c>
      <c r="K174" s="8">
        <f t="shared" si="34"/>
        <v>-0.17011774259033652</v>
      </c>
      <c r="L174">
        <f t="shared" si="28"/>
        <v>-0.13834953846153847</v>
      </c>
      <c r="M174">
        <f t="shared" si="35"/>
        <v>-0.20687472994138359</v>
      </c>
      <c r="N174" s="15">
        <v>-1.12E-4</v>
      </c>
      <c r="O174" s="8">
        <f>(I174 - MAX(I122:I174)) / MAX(I122:I174)</f>
        <v>-0.40102564102564098</v>
      </c>
      <c r="P174" s="15">
        <v>-6.6600000000000006E-2</v>
      </c>
      <c r="Q174">
        <f t="shared" si="36"/>
        <v>1.7754222635880237</v>
      </c>
      <c r="R174">
        <f t="shared" si="37"/>
        <v>-1.3918826733822037E-2</v>
      </c>
      <c r="S174" s="15">
        <f t="shared" si="38"/>
        <v>8.7395752343600863E-2</v>
      </c>
    </row>
    <row r="175" spans="1:19" x14ac:dyDescent="0.3">
      <c r="A175" s="2">
        <v>43617</v>
      </c>
      <c r="B175">
        <v>2019</v>
      </c>
      <c r="C175">
        <v>6</v>
      </c>
      <c r="D175" s="5" t="s">
        <v>9</v>
      </c>
      <c r="E175" t="s">
        <v>13</v>
      </c>
      <c r="F175" t="s">
        <v>14</v>
      </c>
      <c r="G175" t="s">
        <v>15</v>
      </c>
      <c r="H175" t="s">
        <v>22</v>
      </c>
      <c r="I175">
        <v>41.77</v>
      </c>
      <c r="J175" s="8">
        <f t="shared" si="33"/>
        <v>2.1771037181996099E-2</v>
      </c>
      <c r="K175" s="8">
        <f t="shared" si="34"/>
        <v>-0.15205034510759186</v>
      </c>
      <c r="L175">
        <f t="shared" si="28"/>
        <v>2.2034037181996098E-2</v>
      </c>
      <c r="M175">
        <f t="shared" si="35"/>
        <v>-0.1866899169181159</v>
      </c>
      <c r="N175" s="15">
        <v>-2.63E-4</v>
      </c>
      <c r="O175" s="8">
        <f>(I175 - MAX(I122:I175)) / MAX(I122:I175)</f>
        <v>-0.38798534798534795</v>
      </c>
      <c r="P175" s="15">
        <v>5.8899999999999987E-2</v>
      </c>
      <c r="Q175">
        <f t="shared" si="36"/>
        <v>1.6306794247914476</v>
      </c>
      <c r="R175">
        <f t="shared" si="37"/>
        <v>-2.1114922413002113E-2</v>
      </c>
      <c r="S175" s="15">
        <f t="shared" si="38"/>
        <v>8.7981314408416847E-2</v>
      </c>
    </row>
    <row r="176" spans="1:19" x14ac:dyDescent="0.3">
      <c r="A176" s="2">
        <v>43647</v>
      </c>
      <c r="B176">
        <v>2019</v>
      </c>
      <c r="C176">
        <v>7</v>
      </c>
      <c r="D176" s="5" t="s">
        <v>9</v>
      </c>
      <c r="E176" t="s">
        <v>13</v>
      </c>
      <c r="F176" t="s">
        <v>14</v>
      </c>
      <c r="G176" t="s">
        <v>15</v>
      </c>
      <c r="H176" t="s">
        <v>22</v>
      </c>
      <c r="I176">
        <v>42.18</v>
      </c>
      <c r="J176" s="8">
        <f t="shared" si="33"/>
        <v>9.8156571702177776E-3</v>
      </c>
      <c r="K176" s="8">
        <f t="shared" si="34"/>
        <v>-0.14372716199756352</v>
      </c>
      <c r="L176">
        <f t="shared" si="28"/>
        <v>1.0139657170217777E-2</v>
      </c>
      <c r="M176">
        <f t="shared" si="35"/>
        <v>-0.22556949328221348</v>
      </c>
      <c r="N176" s="15">
        <v>-3.2400000000000001E-4</v>
      </c>
      <c r="O176" s="8">
        <f>(I176 - MAX(I122:I176)) / MAX(I122:I176)</f>
        <v>-0.381978021978022</v>
      </c>
      <c r="P176" s="15">
        <v>-2E-3</v>
      </c>
      <c r="Q176">
        <f t="shared" si="36"/>
        <v>1.6198510808735156</v>
      </c>
      <c r="R176">
        <f t="shared" si="37"/>
        <v>-1.8739816617160877E-2</v>
      </c>
      <c r="S176" s="15">
        <f t="shared" si="38"/>
        <v>8.6211177565807026E-2</v>
      </c>
    </row>
    <row r="177" spans="1:19" x14ac:dyDescent="0.3">
      <c r="A177" s="2">
        <v>43678</v>
      </c>
      <c r="B177">
        <v>2019</v>
      </c>
      <c r="C177">
        <v>8</v>
      </c>
      <c r="D177" s="5" t="s">
        <v>9</v>
      </c>
      <c r="E177" t="s">
        <v>13</v>
      </c>
      <c r="F177" t="s">
        <v>14</v>
      </c>
      <c r="G177" t="s">
        <v>15</v>
      </c>
      <c r="H177" t="s">
        <v>22</v>
      </c>
      <c r="I177">
        <v>41.03</v>
      </c>
      <c r="J177" s="8">
        <f t="shared" si="33"/>
        <v>-2.7264106211474598E-2</v>
      </c>
      <c r="K177" s="8">
        <f t="shared" si="34"/>
        <v>-0.16707267559886274</v>
      </c>
      <c r="L177">
        <f t="shared" si="28"/>
        <v>-2.6723106211474598E-2</v>
      </c>
      <c r="M177">
        <f t="shared" si="35"/>
        <v>-0.16852419012704534</v>
      </c>
      <c r="N177" s="15">
        <v>-5.4100000000000003E-4</v>
      </c>
      <c r="O177" s="8">
        <f>(I177 - MAX(I122:I177)) / MAX(I122:I177)</f>
        <v>-0.39882783882783879</v>
      </c>
      <c r="P177" s="15">
        <v>-1.1599999999999999E-2</v>
      </c>
      <c r="Q177">
        <f t="shared" si="36"/>
        <v>1.5936684338464033</v>
      </c>
      <c r="R177">
        <f t="shared" si="37"/>
        <v>-1.6895630735132821E-2</v>
      </c>
      <c r="S177" s="15">
        <f t="shared" si="38"/>
        <v>8.3276271767744006E-2</v>
      </c>
    </row>
    <row r="178" spans="1:19" x14ac:dyDescent="0.3">
      <c r="A178" s="2">
        <v>43709</v>
      </c>
      <c r="B178">
        <v>2019</v>
      </c>
      <c r="C178">
        <v>9</v>
      </c>
      <c r="D178" s="5" t="s">
        <v>9</v>
      </c>
      <c r="E178" t="s">
        <v>13</v>
      </c>
      <c r="F178" t="s">
        <v>14</v>
      </c>
      <c r="G178" t="s">
        <v>15</v>
      </c>
      <c r="H178" t="s">
        <v>22</v>
      </c>
      <c r="I178">
        <v>44.67</v>
      </c>
      <c r="J178" s="8">
        <f t="shared" si="33"/>
        <v>8.8715573970265665E-2</v>
      </c>
      <c r="K178" s="8">
        <f t="shared" si="34"/>
        <v>-9.3179049939098202E-2</v>
      </c>
      <c r="L178">
        <f t="shared" si="28"/>
        <v>8.9211573970265662E-2</v>
      </c>
      <c r="M178">
        <f t="shared" si="35"/>
        <v>-0.11572661500169631</v>
      </c>
      <c r="N178" s="15">
        <v>-4.9600000000000002E-4</v>
      </c>
      <c r="O178" s="8">
        <f>(I178 - MAX(I122:I178)) / MAX(I122:I178)</f>
        <v>-0.34549450549450544</v>
      </c>
      <c r="P178" s="15">
        <v>4.1599999999999998E-2</v>
      </c>
      <c r="Q178">
        <f t="shared" si="36"/>
        <v>1.6598237845815162</v>
      </c>
      <c r="R178">
        <f t="shared" si="37"/>
        <v>-1.8666259426034157E-2</v>
      </c>
      <c r="S178" s="15">
        <f t="shared" si="38"/>
        <v>8.713043784971454E-2</v>
      </c>
    </row>
    <row r="179" spans="1:19" x14ac:dyDescent="0.3">
      <c r="A179" s="2">
        <v>43739</v>
      </c>
      <c r="B179">
        <v>2019</v>
      </c>
      <c r="C179">
        <v>10</v>
      </c>
      <c r="D179" s="5" t="s">
        <v>9</v>
      </c>
      <c r="E179" t="s">
        <v>13</v>
      </c>
      <c r="F179" t="s">
        <v>14</v>
      </c>
      <c r="G179" t="s">
        <v>15</v>
      </c>
      <c r="H179" t="s">
        <v>22</v>
      </c>
      <c r="I179">
        <v>46.81</v>
      </c>
      <c r="J179" s="8">
        <f t="shared" si="33"/>
        <v>4.7906872621446168E-2</v>
      </c>
      <c r="K179" s="8">
        <f t="shared" si="34"/>
        <v>-4.9736094194071767E-2</v>
      </c>
      <c r="L179">
        <f t="shared" si="28"/>
        <v>4.8297872621446171E-2</v>
      </c>
      <c r="M179">
        <f t="shared" si="35"/>
        <v>5.4327311095367731E-2</v>
      </c>
      <c r="N179" s="15">
        <v>-3.9100000000000002E-4</v>
      </c>
      <c r="O179" s="8">
        <f>(I179 - MAX(I122:I179)) / MAX(I122:I179)</f>
        <v>-0.31413919413919411</v>
      </c>
      <c r="P179" s="15">
        <v>9.7999999999999997E-3</v>
      </c>
      <c r="Q179">
        <f t="shared" si="36"/>
        <v>1.6296583465622041</v>
      </c>
      <c r="R179">
        <f t="shared" si="37"/>
        <v>-1.3537306814782608E-2</v>
      </c>
      <c r="S179" s="15">
        <f t="shared" si="38"/>
        <v>8.0476929675614803E-2</v>
      </c>
    </row>
    <row r="180" spans="1:19" x14ac:dyDescent="0.3">
      <c r="A180" s="2">
        <v>43770</v>
      </c>
      <c r="B180">
        <v>2019</v>
      </c>
      <c r="C180">
        <v>11</v>
      </c>
      <c r="D180" s="5" t="s">
        <v>9</v>
      </c>
      <c r="E180" t="s">
        <v>13</v>
      </c>
      <c r="F180" t="s">
        <v>14</v>
      </c>
      <c r="G180" t="s">
        <v>15</v>
      </c>
      <c r="H180" t="s">
        <v>22</v>
      </c>
      <c r="I180">
        <v>50.97</v>
      </c>
      <c r="J180" s="8">
        <f t="shared" si="33"/>
        <v>8.8869899594103741E-2</v>
      </c>
      <c r="K180" s="8">
        <f t="shared" si="34"/>
        <v>3.4713763702801881E-2</v>
      </c>
      <c r="L180">
        <f t="shared" si="28"/>
        <v>8.9163899594103743E-2</v>
      </c>
      <c r="M180">
        <f t="shared" si="35"/>
        <v>0.18114077230686737</v>
      </c>
      <c r="N180" s="15">
        <v>-2.9399999999999999E-4</v>
      </c>
      <c r="O180" s="8">
        <f>(I180 - MAX(I122:I180)) / MAX(I122:I180)</f>
        <v>-0.25318681318681319</v>
      </c>
      <c r="P180" s="15">
        <v>2.75E-2</v>
      </c>
      <c r="Q180">
        <f t="shared" si="36"/>
        <v>1.6565598908345256</v>
      </c>
      <c r="R180">
        <f t="shared" si="37"/>
        <v>-8.1416235526683232E-3</v>
      </c>
      <c r="S180" s="15">
        <f t="shared" si="38"/>
        <v>8.2729078011689314E-2</v>
      </c>
    </row>
    <row r="181" spans="1:19" x14ac:dyDescent="0.3">
      <c r="A181" s="2">
        <v>43800</v>
      </c>
      <c r="B181">
        <v>2019</v>
      </c>
      <c r="C181">
        <v>12</v>
      </c>
      <c r="D181" s="5" t="s">
        <v>9</v>
      </c>
      <c r="E181" t="s">
        <v>13</v>
      </c>
      <c r="F181" t="s">
        <v>14</v>
      </c>
      <c r="G181" t="s">
        <v>15</v>
      </c>
      <c r="H181" t="s">
        <v>22</v>
      </c>
      <c r="I181">
        <v>52.83</v>
      </c>
      <c r="J181" s="8">
        <f t="shared" si="33"/>
        <v>3.6492054149499693E-2</v>
      </c>
      <c r="K181" s="8">
        <f t="shared" si="34"/>
        <v>7.2472594397077206E-2</v>
      </c>
      <c r="L181">
        <f t="shared" si="28"/>
        <v>3.6742054149499694E-2</v>
      </c>
      <c r="M181">
        <f t="shared" si="35"/>
        <v>0.37453521109350812</v>
      </c>
      <c r="N181" s="15">
        <v>-2.5000000000000001E-4</v>
      </c>
      <c r="O181" s="8">
        <f>(I181 - MAX(I122:I181)) / MAX(I122:I181)</f>
        <v>-0.22593406593406595</v>
      </c>
      <c r="P181" s="15">
        <v>1.21E-2</v>
      </c>
      <c r="Q181">
        <f t="shared" si="36"/>
        <v>1.6154409994382306</v>
      </c>
      <c r="R181">
        <f t="shared" si="37"/>
        <v>-4.8911033031528717E-3</v>
      </c>
      <c r="S181" s="15">
        <f t="shared" si="38"/>
        <v>7.2786983283199574E-2</v>
      </c>
    </row>
    <row r="182" spans="1:19" x14ac:dyDescent="0.3">
      <c r="A182" s="2">
        <v>43831</v>
      </c>
      <c r="B182">
        <v>2020</v>
      </c>
      <c r="C182">
        <v>1</v>
      </c>
      <c r="D182" s="5" t="s">
        <v>9</v>
      </c>
      <c r="E182" t="s">
        <v>13</v>
      </c>
      <c r="F182" t="s">
        <v>14</v>
      </c>
      <c r="G182" t="s">
        <v>15</v>
      </c>
      <c r="H182" t="s">
        <v>22</v>
      </c>
      <c r="I182">
        <v>48.05</v>
      </c>
      <c r="J182" s="8">
        <f t="shared" si="33"/>
        <v>-9.0478894567480622E-2</v>
      </c>
      <c r="K182" s="8">
        <f t="shared" si="34"/>
        <v>-2.4563540397888328E-2</v>
      </c>
      <c r="L182">
        <f t="shared" si="28"/>
        <v>-9.0217894567480625E-2</v>
      </c>
      <c r="M182">
        <f t="shared" si="35"/>
        <v>0.20728843906642364</v>
      </c>
      <c r="N182" s="15">
        <v>-2.61E-4</v>
      </c>
      <c r="O182" s="8">
        <f>(I182 - MAX(I122:I182)) / MAX(I122:I182)</f>
        <v>-0.29597069597069603</v>
      </c>
      <c r="P182" s="15">
        <v>-2.87E-2</v>
      </c>
      <c r="Q182">
        <f t="shared" si="36"/>
        <v>1.8912448002879692</v>
      </c>
      <c r="R182">
        <f t="shared" si="37"/>
        <v>-7.4445778266328429E-3</v>
      </c>
      <c r="S182" s="15">
        <f t="shared" si="38"/>
        <v>8.0117000233224475E-2</v>
      </c>
    </row>
    <row r="183" spans="1:19" x14ac:dyDescent="0.3">
      <c r="A183" s="2">
        <v>43862</v>
      </c>
      <c r="B183">
        <v>2020</v>
      </c>
      <c r="C183">
        <v>2</v>
      </c>
      <c r="D183" s="5" t="s">
        <v>9</v>
      </c>
      <c r="E183" t="s">
        <v>13</v>
      </c>
      <c r="F183" t="s">
        <v>14</v>
      </c>
      <c r="G183" t="s">
        <v>15</v>
      </c>
      <c r="H183" t="s">
        <v>22</v>
      </c>
      <c r="I183">
        <v>43.78</v>
      </c>
      <c r="J183" s="8">
        <f t="shared" si="33"/>
        <v>-8.8865764828303773E-2</v>
      </c>
      <c r="K183" s="8">
        <f t="shared" si="34"/>
        <v>-0.11124644742184286</v>
      </c>
      <c r="L183">
        <f t="shared" si="28"/>
        <v>-8.8477764828303773E-2</v>
      </c>
      <c r="M183">
        <f t="shared" si="35"/>
        <v>1.1626158118399814E-2</v>
      </c>
      <c r="N183" s="15">
        <v>-3.88E-4</v>
      </c>
      <c r="O183" s="8">
        <f>(I183 - MAX(I122:I183)) / MAX(I122:I183)</f>
        <v>-0.35853479853479853</v>
      </c>
      <c r="P183" s="15">
        <v>-8.5500000000000007E-2</v>
      </c>
      <c r="Q183">
        <f t="shared" si="36"/>
        <v>1.5197919200969057</v>
      </c>
      <c r="R183">
        <f t="shared" si="37"/>
        <v>-2.0552376812821688E-3</v>
      </c>
      <c r="S183" s="15">
        <f t="shared" si="38"/>
        <v>8.0788424606830223E-2</v>
      </c>
    </row>
    <row r="184" spans="1:19" x14ac:dyDescent="0.3">
      <c r="A184" s="2">
        <v>43891</v>
      </c>
      <c r="B184">
        <v>2020</v>
      </c>
      <c r="C184">
        <v>3</v>
      </c>
      <c r="D184" s="5" t="s">
        <v>9</v>
      </c>
      <c r="E184" t="s">
        <v>13</v>
      </c>
      <c r="F184" t="s">
        <v>14</v>
      </c>
      <c r="G184" t="s">
        <v>15</v>
      </c>
      <c r="H184" t="s">
        <v>22</v>
      </c>
      <c r="I184">
        <v>27.51</v>
      </c>
      <c r="J184" s="8">
        <f t="shared" si="33"/>
        <v>-0.3716308816811329</v>
      </c>
      <c r="K184" s="8">
        <f t="shared" si="34"/>
        <v>-0.44153471376370246</v>
      </c>
      <c r="L184">
        <f t="shared" si="28"/>
        <v>-0.37117988168113292</v>
      </c>
      <c r="M184">
        <f t="shared" si="35"/>
        <v>-0.18942940867152522</v>
      </c>
      <c r="N184" s="15">
        <v>-4.5100000000000001E-4</v>
      </c>
      <c r="O184" s="8">
        <f>(I184 - MAX(I122:I184)) / MAX(I122:I184)</f>
        <v>-0.59692307692307689</v>
      </c>
      <c r="P184" s="15">
        <v>-0.16300000000000001</v>
      </c>
      <c r="Q184">
        <f t="shared" si="36"/>
        <v>1.9687620917482729</v>
      </c>
      <c r="R184">
        <f t="shared" si="37"/>
        <v>-3.2550511716401137E-5</v>
      </c>
      <c r="S184" s="15">
        <f t="shared" si="38"/>
        <v>0.13449941311759001</v>
      </c>
    </row>
    <row r="185" spans="1:19" x14ac:dyDescent="0.3">
      <c r="A185" s="2">
        <v>43922</v>
      </c>
      <c r="B185">
        <v>2020</v>
      </c>
      <c r="C185">
        <v>4</v>
      </c>
      <c r="D185" s="5" t="s">
        <v>9</v>
      </c>
      <c r="E185" t="s">
        <v>13</v>
      </c>
      <c r="F185" t="s">
        <v>14</v>
      </c>
      <c r="G185" t="s">
        <v>15</v>
      </c>
      <c r="H185" t="s">
        <v>22</v>
      </c>
      <c r="I185">
        <v>28.68</v>
      </c>
      <c r="J185" s="8">
        <f t="shared" si="33"/>
        <v>4.2529989094874522E-2</v>
      </c>
      <c r="K185" s="8">
        <f t="shared" si="34"/>
        <v>-0.4177831912302068</v>
      </c>
      <c r="L185">
        <f t="shared" si="28"/>
        <v>4.2904989094874522E-2</v>
      </c>
      <c r="M185">
        <f t="shared" si="35"/>
        <v>-0.24268426318920888</v>
      </c>
      <c r="N185" s="15">
        <v>-3.7500000000000001E-4</v>
      </c>
      <c r="O185" s="8">
        <f>(I185 - MAX(I122:I185)) / MAX(I122:I185)</f>
        <v>-0.57978021978021976</v>
      </c>
      <c r="P185" s="15">
        <v>5.0599999999999999E-2</v>
      </c>
      <c r="Q185">
        <f t="shared" si="36"/>
        <v>1.8656815400492917</v>
      </c>
      <c r="R185">
        <f t="shared" si="37"/>
        <v>-7.6219819999031012E-3</v>
      </c>
      <c r="S185" s="15">
        <f t="shared" si="38"/>
        <v>0.12926744714181163</v>
      </c>
    </row>
    <row r="186" spans="1:19" x14ac:dyDescent="0.3">
      <c r="A186" s="2">
        <v>43952</v>
      </c>
      <c r="B186">
        <v>2020</v>
      </c>
      <c r="C186">
        <v>5</v>
      </c>
      <c r="D186" s="5" t="s">
        <v>9</v>
      </c>
      <c r="E186" t="s">
        <v>13</v>
      </c>
      <c r="F186" t="s">
        <v>14</v>
      </c>
      <c r="G186" t="s">
        <v>15</v>
      </c>
      <c r="H186" t="s">
        <v>22</v>
      </c>
      <c r="I186">
        <v>32.26</v>
      </c>
      <c r="J186" s="8">
        <f t="shared" si="33"/>
        <v>0.12482566248256619</v>
      </c>
      <c r="K186" s="8">
        <f t="shared" si="34"/>
        <v>-0.34510759236703181</v>
      </c>
      <c r="L186">
        <f t="shared" si="28"/>
        <v>0.1252556624825662</v>
      </c>
      <c r="M186">
        <f t="shared" si="35"/>
        <v>-7.1339617665291871E-2</v>
      </c>
      <c r="N186" s="15">
        <v>-4.2999999999999999E-4</v>
      </c>
      <c r="O186" s="8">
        <f>(I186 - MAX(I122:I186)) / MAX(I122:I186)</f>
        <v>-0.52732600732600732</v>
      </c>
      <c r="P186" s="15">
        <v>4.1799999999999997E-2</v>
      </c>
      <c r="Q186">
        <f t="shared" si="36"/>
        <v>1.9111341848178196</v>
      </c>
      <c r="R186">
        <f t="shared" si="37"/>
        <v>-2.3908496717320437E-3</v>
      </c>
      <c r="S186" s="15">
        <f t="shared" si="38"/>
        <v>0.13182121509827546</v>
      </c>
    </row>
    <row r="187" spans="1:19" x14ac:dyDescent="0.3">
      <c r="A187" s="2">
        <v>43983</v>
      </c>
      <c r="B187">
        <v>2020</v>
      </c>
      <c r="C187">
        <v>6</v>
      </c>
      <c r="D187" s="5" t="s">
        <v>9</v>
      </c>
      <c r="E187" t="s">
        <v>13</v>
      </c>
      <c r="F187" t="s">
        <v>14</v>
      </c>
      <c r="G187" t="s">
        <v>15</v>
      </c>
      <c r="H187" t="s">
        <v>22</v>
      </c>
      <c r="I187">
        <v>35.369999999999997</v>
      </c>
      <c r="J187" s="8">
        <f t="shared" ref="J187:J218" si="39">(I187-I186)/I186</f>
        <v>9.6404215747055169E-2</v>
      </c>
      <c r="K187" s="8">
        <f t="shared" ref="K187:K218" si="40">(K186+1)*(J187+1)-1</f>
        <v>-0.28197320341047472</v>
      </c>
      <c r="L187">
        <f t="shared" si="28"/>
        <v>9.676621574705517E-2</v>
      </c>
      <c r="M187">
        <f t="shared" si="35"/>
        <v>-2.3500430373633273E-2</v>
      </c>
      <c r="N187" s="15">
        <v>-3.6200000000000002E-4</v>
      </c>
      <c r="O187" s="8">
        <f>(I187 - MAX(I122:I187)) / MAX(I122:I187)</f>
        <v>-0.48175824175824178</v>
      </c>
      <c r="P187" s="15">
        <v>6.0299999999999999E-2</v>
      </c>
      <c r="Q187">
        <f t="shared" si="36"/>
        <v>2.0103461345670741</v>
      </c>
      <c r="R187">
        <f t="shared" si="37"/>
        <v>3.9497809223097285E-3</v>
      </c>
      <c r="S187" s="15">
        <f t="shared" si="38"/>
        <v>0.13516320712835642</v>
      </c>
    </row>
    <row r="188" spans="1:19" x14ac:dyDescent="0.3">
      <c r="A188" s="2">
        <v>44013</v>
      </c>
      <c r="B188">
        <v>2020</v>
      </c>
      <c r="C188">
        <v>7</v>
      </c>
      <c r="D188" s="5" t="s">
        <v>9</v>
      </c>
      <c r="E188" t="s">
        <v>13</v>
      </c>
      <c r="F188" t="s">
        <v>14</v>
      </c>
      <c r="G188" t="s">
        <v>15</v>
      </c>
      <c r="H188" t="s">
        <v>22</v>
      </c>
      <c r="I188">
        <v>34.119999999999997</v>
      </c>
      <c r="J188" s="8">
        <f t="shared" si="39"/>
        <v>-3.5340684195646031E-2</v>
      </c>
      <c r="K188" s="8">
        <f t="shared" si="40"/>
        <v>-0.30734876167275649</v>
      </c>
      <c r="L188">
        <f t="shared" si="28"/>
        <v>-3.4904684195646032E-2</v>
      </c>
      <c r="M188">
        <f t="shared" si="35"/>
        <v>-5.1187829149956239E-2</v>
      </c>
      <c r="N188" s="15">
        <v>-4.3600000000000003E-4</v>
      </c>
      <c r="O188" s="8">
        <f>(I188 - MAX(I122:I188)) / MAX(I122:I188)</f>
        <v>-0.50007326007326014</v>
      </c>
      <c r="P188" s="15">
        <v>-1.8499999999999999E-2</v>
      </c>
      <c r="Q188">
        <f t="shared" si="36"/>
        <v>2.0103773540765748</v>
      </c>
      <c r="R188">
        <f t="shared" si="37"/>
        <v>2.9417018137279588E-3</v>
      </c>
      <c r="S188" s="15">
        <f t="shared" si="38"/>
        <v>0.13538547672566847</v>
      </c>
    </row>
    <row r="189" spans="1:19" x14ac:dyDescent="0.3">
      <c r="A189" s="2">
        <v>44044</v>
      </c>
      <c r="B189">
        <v>2020</v>
      </c>
      <c r="C189">
        <v>8</v>
      </c>
      <c r="D189" s="5" t="s">
        <v>9</v>
      </c>
      <c r="E189" t="s">
        <v>13</v>
      </c>
      <c r="F189" t="s">
        <v>14</v>
      </c>
      <c r="G189" t="s">
        <v>15</v>
      </c>
      <c r="H189" t="s">
        <v>22</v>
      </c>
      <c r="I189">
        <v>36.56</v>
      </c>
      <c r="J189" s="8">
        <f t="shared" si="39"/>
        <v>7.1512309495896986E-2</v>
      </c>
      <c r="K189" s="8">
        <f t="shared" si="40"/>
        <v>-0.25781567194478239</v>
      </c>
      <c r="L189">
        <f t="shared" si="28"/>
        <v>7.1948309495896992E-2</v>
      </c>
      <c r="M189">
        <f t="shared" si="35"/>
        <v>9.4307269509232346E-3</v>
      </c>
      <c r="N189" s="15">
        <v>-4.3600000000000003E-4</v>
      </c>
      <c r="O189" s="8">
        <f>(I189 - MAX(I122:I189)) / MAX(I122:I189)</f>
        <v>-0.46432234432234432</v>
      </c>
      <c r="P189" s="15">
        <v>3.09E-2</v>
      </c>
      <c r="Q189">
        <f t="shared" si="36"/>
        <v>2.0130823827025033</v>
      </c>
      <c r="R189">
        <f t="shared" si="37"/>
        <v>4.0655503057681003E-3</v>
      </c>
      <c r="S189" s="15">
        <f t="shared" si="38"/>
        <v>0.13705511041954882</v>
      </c>
    </row>
    <row r="190" spans="1:19" x14ac:dyDescent="0.3">
      <c r="A190" s="2">
        <v>44075</v>
      </c>
      <c r="B190">
        <v>2020</v>
      </c>
      <c r="C190">
        <v>9</v>
      </c>
      <c r="D190" s="5" t="s">
        <v>9</v>
      </c>
      <c r="E190" t="s">
        <v>13</v>
      </c>
      <c r="F190" t="s">
        <v>14</v>
      </c>
      <c r="G190" t="s">
        <v>15</v>
      </c>
      <c r="H190" t="s">
        <v>22</v>
      </c>
      <c r="I190">
        <v>30.98</v>
      </c>
      <c r="J190" s="8">
        <f t="shared" si="39"/>
        <v>-0.15262582056892784</v>
      </c>
      <c r="K190" s="8">
        <f t="shared" si="40"/>
        <v>-0.37109216402760825</v>
      </c>
      <c r="L190">
        <f t="shared" si="28"/>
        <v>-0.15218882056892785</v>
      </c>
      <c r="M190">
        <f t="shared" si="35"/>
        <v>-0.13382807679592704</v>
      </c>
      <c r="N190" s="15">
        <v>-4.37E-4</v>
      </c>
      <c r="O190" s="8">
        <f>(I190 - MAX(I122:I190)) / MAX(I122:I190)</f>
        <v>-0.54608058608058607</v>
      </c>
      <c r="P190" s="15">
        <v>-2.41E-2</v>
      </c>
      <c r="Q190">
        <f t="shared" si="36"/>
        <v>2.0533022523580633</v>
      </c>
      <c r="R190">
        <f t="shared" si="37"/>
        <v>-4.743821134312997E-3</v>
      </c>
      <c r="S190" s="15">
        <f t="shared" si="38"/>
        <v>0.1406593494580525</v>
      </c>
    </row>
    <row r="191" spans="1:19" x14ac:dyDescent="0.3">
      <c r="A191" s="2">
        <v>44105</v>
      </c>
      <c r="B191">
        <v>2020</v>
      </c>
      <c r="C191">
        <v>10</v>
      </c>
      <c r="D191" s="5" t="s">
        <v>9</v>
      </c>
      <c r="E191" t="s">
        <v>13</v>
      </c>
      <c r="F191" t="s">
        <v>14</v>
      </c>
      <c r="G191" t="s">
        <v>15</v>
      </c>
      <c r="H191" t="s">
        <v>22</v>
      </c>
      <c r="I191">
        <v>29.86</v>
      </c>
      <c r="J191" s="8">
        <f t="shared" si="39"/>
        <v>-3.6152356358941283E-2</v>
      </c>
      <c r="K191" s="8">
        <f t="shared" si="40"/>
        <v>-0.3938286642306128</v>
      </c>
      <c r="L191">
        <f t="shared" si="28"/>
        <v>-3.5646356358941284E-2</v>
      </c>
      <c r="M191">
        <f t="shared" si="35"/>
        <v>-0.18562109414526221</v>
      </c>
      <c r="N191" s="15">
        <v>-5.0600000000000005E-4</v>
      </c>
      <c r="O191" s="8">
        <f>(I191 - MAX(I122:I191)) / MAX(I122:I191)</f>
        <v>-0.56249084249084247</v>
      </c>
      <c r="P191" s="15">
        <v>-7.3700000000000002E-2</v>
      </c>
      <c r="Q191">
        <f t="shared" si="36"/>
        <v>1.8905596919986991</v>
      </c>
      <c r="R191">
        <f t="shared" si="37"/>
        <v>2.8185956464636328E-4</v>
      </c>
      <c r="S191" s="15">
        <f t="shared" si="38"/>
        <v>0.13909799829196137</v>
      </c>
    </row>
    <row r="192" spans="1:19" x14ac:dyDescent="0.3">
      <c r="A192" s="2">
        <v>44136</v>
      </c>
      <c r="B192">
        <v>2020</v>
      </c>
      <c r="C192">
        <v>11</v>
      </c>
      <c r="D192" s="5" t="s">
        <v>9</v>
      </c>
      <c r="E192" t="s">
        <v>13</v>
      </c>
      <c r="F192" t="s">
        <v>14</v>
      </c>
      <c r="G192" t="s">
        <v>15</v>
      </c>
      <c r="H192" t="s">
        <v>22</v>
      </c>
      <c r="I192">
        <v>42.97</v>
      </c>
      <c r="J192" s="8">
        <f t="shared" si="39"/>
        <v>0.43904889484259879</v>
      </c>
      <c r="K192" s="8">
        <f t="shared" si="40"/>
        <v>-0.12768980917580153</v>
      </c>
      <c r="L192">
        <f t="shared" si="28"/>
        <v>0.4395608948425988</v>
      </c>
      <c r="M192">
        <f t="shared" si="35"/>
        <v>1.7598255067547128E-2</v>
      </c>
      <c r="N192" s="15">
        <v>-5.1199999999999998E-4</v>
      </c>
      <c r="O192" s="8">
        <f>(I192 - MAX(I122:I192)) / MAX(I122:I192)</f>
        <v>-0.37040293040293043</v>
      </c>
      <c r="P192" s="15">
        <v>0.18060000000000001</v>
      </c>
      <c r="Q192">
        <f t="shared" si="36"/>
        <v>2.0913740892579553</v>
      </c>
      <c r="R192">
        <f t="shared" si="37"/>
        <v>5.5336451549108448E-3</v>
      </c>
      <c r="S192" s="15">
        <f t="shared" si="38"/>
        <v>0.19207739373575961</v>
      </c>
    </row>
    <row r="193" spans="1:19" x14ac:dyDescent="0.3">
      <c r="A193" s="2">
        <v>44166</v>
      </c>
      <c r="B193">
        <v>2020</v>
      </c>
      <c r="C193">
        <v>12</v>
      </c>
      <c r="D193" s="5" t="s">
        <v>9</v>
      </c>
      <c r="E193" t="s">
        <v>13</v>
      </c>
      <c r="F193" t="s">
        <v>14</v>
      </c>
      <c r="G193" t="s">
        <v>15</v>
      </c>
      <c r="H193" t="s">
        <v>22</v>
      </c>
      <c r="I193">
        <v>43.1</v>
      </c>
      <c r="J193" s="8">
        <f t="shared" si="39"/>
        <v>3.0253665347917749E-3</v>
      </c>
      <c r="K193" s="8">
        <f t="shared" si="40"/>
        <v>-0.12505075111652419</v>
      </c>
      <c r="L193">
        <f t="shared" si="28"/>
        <v>3.5403665347917748E-3</v>
      </c>
      <c r="M193">
        <f t="shared" si="35"/>
        <v>3.198404546422133E-3</v>
      </c>
      <c r="N193" s="15">
        <v>-5.1500000000000005E-4</v>
      </c>
      <c r="O193" s="8">
        <f>(I193 - MAX(I122:I193)) / MAX(I122:I193)</f>
        <v>-0.36849816849816847</v>
      </c>
      <c r="P193" s="15">
        <v>2.2599999999999999E-2</v>
      </c>
      <c r="Q193">
        <f t="shared" si="36"/>
        <v>2.0765828711001881</v>
      </c>
      <c r="R193">
        <f t="shared" si="37"/>
        <v>8.8873994543928181E-4</v>
      </c>
      <c r="S193" s="15">
        <f t="shared" si="38"/>
        <v>0.19178926791237771</v>
      </c>
    </row>
    <row r="194" spans="1:19" x14ac:dyDescent="0.3">
      <c r="A194" s="2">
        <v>44197</v>
      </c>
      <c r="B194">
        <v>2021</v>
      </c>
      <c r="C194">
        <v>1</v>
      </c>
      <c r="D194" s="5" t="s">
        <v>9</v>
      </c>
      <c r="E194" t="s">
        <v>13</v>
      </c>
      <c r="F194" t="s">
        <v>14</v>
      </c>
      <c r="G194" t="s">
        <v>15</v>
      </c>
      <c r="H194" t="s">
        <v>22</v>
      </c>
      <c r="I194">
        <v>39.78</v>
      </c>
      <c r="J194" s="8">
        <f t="shared" si="39"/>
        <v>-7.7030162412993042E-2</v>
      </c>
      <c r="K194" s="8">
        <f t="shared" si="40"/>
        <v>-0.19244823386114451</v>
      </c>
      <c r="L194">
        <f t="shared" ref="L194:L257" si="41">J194-N194</f>
        <v>-7.6544162412993041E-2</v>
      </c>
      <c r="M194">
        <f t="shared" si="35"/>
        <v>9.1654847019927172E-3</v>
      </c>
      <c r="N194" s="15">
        <v>-4.86E-4</v>
      </c>
      <c r="O194" s="8">
        <f>(I194 - MAX(I122:I194)) / MAX(I122:I194)</f>
        <v>-0.41714285714285715</v>
      </c>
      <c r="P194" s="15">
        <v>-2.52E-2</v>
      </c>
      <c r="Q194">
        <f t="shared" si="36"/>
        <v>2.0733630470665561</v>
      </c>
      <c r="R194">
        <f t="shared" si="37"/>
        <v>1.3841842841165412E-3</v>
      </c>
      <c r="S194" s="15">
        <f t="shared" si="38"/>
        <v>0.19124982507531091</v>
      </c>
    </row>
    <row r="195" spans="1:19" x14ac:dyDescent="0.3">
      <c r="A195" s="2">
        <v>44228</v>
      </c>
      <c r="B195">
        <v>2021</v>
      </c>
      <c r="C195">
        <v>2</v>
      </c>
      <c r="D195" s="5" t="s">
        <v>9</v>
      </c>
      <c r="E195" t="s">
        <v>13</v>
      </c>
      <c r="F195" t="s">
        <v>14</v>
      </c>
      <c r="G195" t="s">
        <v>15</v>
      </c>
      <c r="H195" t="s">
        <v>22</v>
      </c>
      <c r="I195">
        <v>49.27</v>
      </c>
      <c r="J195" s="8">
        <f t="shared" si="39"/>
        <v>0.23856209150326801</v>
      </c>
      <c r="K195" s="8">
        <f t="shared" si="40"/>
        <v>2.0300446609877731E-4</v>
      </c>
      <c r="L195">
        <f t="shared" si="41"/>
        <v>0.23893309150326802</v>
      </c>
      <c r="M195">
        <f t="shared" si="35"/>
        <v>0.14492811420192231</v>
      </c>
      <c r="N195" s="15">
        <v>-3.7100000000000002E-4</v>
      </c>
      <c r="O195" s="8">
        <f>(I195 - MAX(I122:I195)) / MAX(I122:I195)</f>
        <v>-0.27809523809523806</v>
      </c>
      <c r="P195" s="15">
        <v>4.4499999999999998E-2</v>
      </c>
      <c r="Q195">
        <f t="shared" si="36"/>
        <v>2.2467362079528557</v>
      </c>
      <c r="R195">
        <f t="shared" si="37"/>
        <v>4.3011314081085779E-3</v>
      </c>
      <c r="S195" s="15">
        <f t="shared" si="38"/>
        <v>0.20035543506183556</v>
      </c>
    </row>
    <row r="196" spans="1:19" x14ac:dyDescent="0.3">
      <c r="A196" s="2">
        <v>44256</v>
      </c>
      <c r="B196">
        <v>2021</v>
      </c>
      <c r="C196">
        <v>3</v>
      </c>
      <c r="D196" s="5" t="s">
        <v>9</v>
      </c>
      <c r="E196" t="s">
        <v>13</v>
      </c>
      <c r="F196" t="s">
        <v>14</v>
      </c>
      <c r="G196" t="s">
        <v>15</v>
      </c>
      <c r="H196" t="s">
        <v>22</v>
      </c>
      <c r="I196">
        <v>51.88</v>
      </c>
      <c r="J196" s="8">
        <f t="shared" si="39"/>
        <v>5.2973411812461929E-2</v>
      </c>
      <c r="K196" s="8">
        <f t="shared" si="40"/>
        <v>5.3187170117743099E-2</v>
      </c>
      <c r="L196">
        <f t="shared" si="41"/>
        <v>5.3277411812461928E-2</v>
      </c>
      <c r="M196">
        <f t="shared" si="35"/>
        <v>0.41344765386091331</v>
      </c>
      <c r="N196" s="15">
        <v>-3.0400000000000002E-4</v>
      </c>
      <c r="O196" s="8">
        <f>(I196 - MAX(I122:I196)) / MAX(I122:I196)</f>
        <v>-0.23985347985347982</v>
      </c>
      <c r="P196" s="15">
        <v>7.7800000000000008E-2</v>
      </c>
      <c r="Q196">
        <f t="shared" si="36"/>
        <v>2.0728288570130178</v>
      </c>
      <c r="R196">
        <f t="shared" si="37"/>
        <v>1.7875412355219944E-5</v>
      </c>
      <c r="S196" s="15">
        <f t="shared" si="38"/>
        <v>0.15578411413540461</v>
      </c>
    </row>
    <row r="197" spans="1:19" x14ac:dyDescent="0.3">
      <c r="A197" s="2">
        <v>44287</v>
      </c>
      <c r="B197">
        <v>2021</v>
      </c>
      <c r="C197">
        <v>4</v>
      </c>
      <c r="D197" s="5" t="s">
        <v>9</v>
      </c>
      <c r="E197" t="s">
        <v>13</v>
      </c>
      <c r="F197" t="s">
        <v>14</v>
      </c>
      <c r="G197" t="s">
        <v>15</v>
      </c>
      <c r="H197" t="s">
        <v>22</v>
      </c>
      <c r="I197">
        <v>53.39</v>
      </c>
      <c r="J197" s="8">
        <f t="shared" si="39"/>
        <v>2.910562837316881E-2</v>
      </c>
      <c r="K197" s="8">
        <f t="shared" si="40"/>
        <v>8.3840844498579425E-2</v>
      </c>
      <c r="L197">
        <f t="shared" si="41"/>
        <v>2.937662837316881E-2</v>
      </c>
      <c r="M197">
        <f t="shared" ref="M197:M228" si="42">(AVERAGE(J186:J197)-AVERAGE(N186:N197))/STDEV(J186:J197)</f>
        <v>0.40564832247648269</v>
      </c>
      <c r="N197" s="15">
        <v>-2.7099999999999997E-4</v>
      </c>
      <c r="O197" s="8">
        <f>(I197 - MAX(I122:I197)) / MAX(I122:I197)</f>
        <v>-0.21772893772893773</v>
      </c>
      <c r="P197" s="15">
        <v>1.4200000000000001E-2</v>
      </c>
      <c r="Q197">
        <f t="shared" ref="Q197:Q228" si="43" xml:space="preserve"> _xlfn.COVARIANCE.P(J186:J197, P186:P197) / _xlfn.VAR.P(P186:P197)</f>
        <v>2.1047956822517118</v>
      </c>
      <c r="R197">
        <f t="shared" ref="R197:R228" si="44">AVERAGE(J186:J197)-(AVERAGE(N186:N197)+Q197*(AVERAGE(P186:P197)-AVERAGE(N186:N197)))</f>
        <v>4.3002776972704479E-3</v>
      </c>
      <c r="S197" s="15">
        <f t="shared" ref="S197:S228" si="45">STDEV(J186:J197)</f>
        <v>0.15600018439192978</v>
      </c>
    </row>
    <row r="198" spans="1:19" x14ac:dyDescent="0.3">
      <c r="A198" s="2">
        <v>44317</v>
      </c>
      <c r="B198">
        <v>2021</v>
      </c>
      <c r="C198">
        <v>5</v>
      </c>
      <c r="D198" s="5" t="s">
        <v>9</v>
      </c>
      <c r="E198" t="s">
        <v>13</v>
      </c>
      <c r="F198" t="s">
        <v>14</v>
      </c>
      <c r="G198" t="s">
        <v>15</v>
      </c>
      <c r="H198" t="s">
        <v>22</v>
      </c>
      <c r="I198">
        <v>55.85</v>
      </c>
      <c r="J198" s="8">
        <f t="shared" si="39"/>
        <v>4.6076044203034294E-2</v>
      </c>
      <c r="K198" s="8">
        <f t="shared" si="40"/>
        <v>0.13377994315875008</v>
      </c>
      <c r="L198">
        <f t="shared" si="41"/>
        <v>4.6262044203034293E-2</v>
      </c>
      <c r="M198">
        <f t="shared" si="42"/>
        <v>0.36624921198672233</v>
      </c>
      <c r="N198" s="15">
        <v>-1.8599999999999999E-4</v>
      </c>
      <c r="O198" s="8">
        <f>(I198 - MAX(I122:I198)) / MAX(I122:I198)</f>
        <v>-0.18168498168498168</v>
      </c>
      <c r="P198" s="15">
        <v>1.6299999999999999E-2</v>
      </c>
      <c r="Q198">
        <f t="shared" si="43"/>
        <v>2.0918518041911121</v>
      </c>
      <c r="R198">
        <f t="shared" si="44"/>
        <v>2.5679110862279128E-3</v>
      </c>
      <c r="S198" s="15">
        <f t="shared" si="45"/>
        <v>0.15480828279125267</v>
      </c>
    </row>
    <row r="199" spans="1:19" x14ac:dyDescent="0.3">
      <c r="A199" s="2">
        <v>44348</v>
      </c>
      <c r="B199">
        <v>2021</v>
      </c>
      <c r="C199">
        <v>6</v>
      </c>
      <c r="D199" s="5" t="s">
        <v>9</v>
      </c>
      <c r="E199" t="s">
        <v>13</v>
      </c>
      <c r="F199" t="s">
        <v>14</v>
      </c>
      <c r="G199" t="s">
        <v>15</v>
      </c>
      <c r="H199" t="s">
        <v>22</v>
      </c>
      <c r="I199">
        <v>52.87</v>
      </c>
      <c r="J199" s="8">
        <f t="shared" si="39"/>
        <v>-5.335720680393919E-2</v>
      </c>
      <c r="K199" s="8">
        <f t="shared" si="40"/>
        <v>7.3284612261470317E-2</v>
      </c>
      <c r="L199">
        <f t="shared" si="41"/>
        <v>-5.3116206803939192E-2</v>
      </c>
      <c r="M199">
        <f t="shared" si="42"/>
        <v>0.28104818726889541</v>
      </c>
      <c r="N199" s="15">
        <v>-2.41E-4</v>
      </c>
      <c r="O199" s="8">
        <f>(I199 - MAX(I122:I199)) / MAX(I122:I199)</f>
        <v>-0.22534798534798539</v>
      </c>
      <c r="P199" s="15">
        <v>6.1000000000000004E-3</v>
      </c>
      <c r="Q199">
        <f t="shared" si="43"/>
        <v>2.144067557572376</v>
      </c>
      <c r="R199">
        <f t="shared" si="44"/>
        <v>-1.5678113244022504E-3</v>
      </c>
      <c r="S199" s="15">
        <f t="shared" si="45"/>
        <v>0.15729761551448057</v>
      </c>
    </row>
    <row r="200" spans="1:19" x14ac:dyDescent="0.3">
      <c r="A200" s="2">
        <v>44378</v>
      </c>
      <c r="B200">
        <v>2021</v>
      </c>
      <c r="C200">
        <v>7</v>
      </c>
      <c r="D200" s="5" t="s">
        <v>9</v>
      </c>
      <c r="E200" t="s">
        <v>13</v>
      </c>
      <c r="F200" t="s">
        <v>14</v>
      </c>
      <c r="G200" t="s">
        <v>15</v>
      </c>
      <c r="H200" t="s">
        <v>22</v>
      </c>
      <c r="I200">
        <v>51.45</v>
      </c>
      <c r="J200" s="8">
        <f t="shared" si="39"/>
        <v>-2.6858331757140055E-2</v>
      </c>
      <c r="K200" s="8">
        <f t="shared" si="40"/>
        <v>4.4457978075518323E-2</v>
      </c>
      <c r="L200">
        <f t="shared" si="41"/>
        <v>-2.6482331757140053E-2</v>
      </c>
      <c r="M200">
        <f t="shared" si="42"/>
        <v>0.28618231828613105</v>
      </c>
      <c r="N200" s="15">
        <v>-3.7599999999999998E-4</v>
      </c>
      <c r="O200" s="8">
        <f>(I200 - MAX(I122:I200)) / MAX(I122:I200)</f>
        <v>-0.24615384615384611</v>
      </c>
      <c r="P200" s="15">
        <v>6.1999999999999998E-3</v>
      </c>
      <c r="Q200">
        <f t="shared" si="43"/>
        <v>2.164613440026137</v>
      </c>
      <c r="R200">
        <f t="shared" si="44"/>
        <v>-5.7492778539251013E-3</v>
      </c>
      <c r="S200" s="15">
        <f t="shared" si="45"/>
        <v>0.15692818715784965</v>
      </c>
    </row>
    <row r="201" spans="1:19" x14ac:dyDescent="0.3">
      <c r="A201" s="2">
        <v>44409</v>
      </c>
      <c r="B201">
        <v>2021</v>
      </c>
      <c r="C201">
        <v>8</v>
      </c>
      <c r="D201" s="5" t="s">
        <v>9</v>
      </c>
      <c r="E201" t="s">
        <v>13</v>
      </c>
      <c r="F201" t="s">
        <v>14</v>
      </c>
      <c r="G201" t="s">
        <v>15</v>
      </c>
      <c r="H201" t="s">
        <v>22</v>
      </c>
      <c r="I201">
        <v>53.73</v>
      </c>
      <c r="J201" s="8">
        <f t="shared" si="39"/>
        <v>4.4314868804664606E-2</v>
      </c>
      <c r="K201" s="8">
        <f t="shared" si="40"/>
        <v>9.0742996345920091E-2</v>
      </c>
      <c r="L201">
        <f t="shared" si="41"/>
        <v>4.4763868804664604E-2</v>
      </c>
      <c r="M201">
        <f t="shared" si="42"/>
        <v>0.27214372489053495</v>
      </c>
      <c r="N201" s="15">
        <v>-4.4900000000000002E-4</v>
      </c>
      <c r="O201" s="8">
        <f>(I201 - MAX(I122:I201)) / MAX(I122:I201)</f>
        <v>-0.21274725274725279</v>
      </c>
      <c r="P201" s="15">
        <v>2.6200000000000001E-2</v>
      </c>
      <c r="Q201">
        <f t="shared" si="43"/>
        <v>2.1621071587852105</v>
      </c>
      <c r="R201">
        <f t="shared" si="44"/>
        <v>-7.1115093462603626E-3</v>
      </c>
      <c r="S201" s="15">
        <f t="shared" si="45"/>
        <v>0.15669919401898261</v>
      </c>
    </row>
    <row r="202" spans="1:19" x14ac:dyDescent="0.3">
      <c r="A202" s="2">
        <v>44440</v>
      </c>
      <c r="B202">
        <v>2021</v>
      </c>
      <c r="C202">
        <v>9</v>
      </c>
      <c r="D202" s="5" t="s">
        <v>9</v>
      </c>
      <c r="E202" t="s">
        <v>13</v>
      </c>
      <c r="F202" t="s">
        <v>14</v>
      </c>
      <c r="G202" t="s">
        <v>15</v>
      </c>
      <c r="H202" t="s">
        <v>22</v>
      </c>
      <c r="I202">
        <v>55.44</v>
      </c>
      <c r="J202" s="8">
        <f t="shared" si="39"/>
        <v>3.1825795644891137E-2</v>
      </c>
      <c r="K202" s="8">
        <f t="shared" si="40"/>
        <v>0.12545676004872153</v>
      </c>
      <c r="L202">
        <f t="shared" si="41"/>
        <v>3.2127795644891134E-2</v>
      </c>
      <c r="M202">
        <f t="shared" si="42"/>
        <v>0.401666047667674</v>
      </c>
      <c r="N202" s="15">
        <v>-3.0200000000000002E-4</v>
      </c>
      <c r="O202" s="8">
        <f>(I202 - MAX(I122:I202)) / MAX(I122:I202)</f>
        <v>-0.18769230769230771</v>
      </c>
      <c r="P202" s="15">
        <v>-3.5299999999999998E-2</v>
      </c>
      <c r="Q202">
        <f t="shared" si="43"/>
        <v>1.9160327677200182</v>
      </c>
      <c r="R202">
        <f t="shared" si="44"/>
        <v>1.5720930239251536E-2</v>
      </c>
      <c r="S202" s="15">
        <f t="shared" si="45"/>
        <v>0.14440956785443781</v>
      </c>
    </row>
    <row r="203" spans="1:19" x14ac:dyDescent="0.3">
      <c r="A203" s="2">
        <v>44470</v>
      </c>
      <c r="B203">
        <v>2021</v>
      </c>
      <c r="C203">
        <v>10</v>
      </c>
      <c r="D203" s="5" t="s">
        <v>9</v>
      </c>
      <c r="E203" t="s">
        <v>13</v>
      </c>
      <c r="F203" t="s">
        <v>14</v>
      </c>
      <c r="G203" t="s">
        <v>15</v>
      </c>
      <c r="H203" t="s">
        <v>22</v>
      </c>
      <c r="I203">
        <v>57.9</v>
      </c>
      <c r="J203" s="8">
        <f t="shared" si="39"/>
        <v>4.4372294372294389E-2</v>
      </c>
      <c r="K203" s="8">
        <f t="shared" si="40"/>
        <v>0.17539585870889218</v>
      </c>
      <c r="L203">
        <f t="shared" si="41"/>
        <v>4.4542294372294386E-2</v>
      </c>
      <c r="M203">
        <f t="shared" si="42"/>
        <v>0.45715967839792243</v>
      </c>
      <c r="N203" s="15">
        <v>-1.7000000000000001E-4</v>
      </c>
      <c r="O203" s="8">
        <f>(I203 - MAX(I122:I203)) / MAX(I122:I203)</f>
        <v>-0.15164835164835166</v>
      </c>
      <c r="P203" s="15">
        <v>0.05</v>
      </c>
      <c r="Q203">
        <f t="shared" si="43"/>
        <v>2.1535916084520825</v>
      </c>
      <c r="R203">
        <f t="shared" si="44"/>
        <v>-4.9788296855544367E-3</v>
      </c>
      <c r="S203" s="15">
        <f t="shared" si="45"/>
        <v>0.14149718573850298</v>
      </c>
    </row>
    <row r="204" spans="1:19" x14ac:dyDescent="0.3">
      <c r="A204" s="2">
        <v>44501</v>
      </c>
      <c r="B204">
        <v>2021</v>
      </c>
      <c r="C204">
        <v>11</v>
      </c>
      <c r="D204" s="5" t="s">
        <v>9</v>
      </c>
      <c r="E204" t="s">
        <v>13</v>
      </c>
      <c r="F204" t="s">
        <v>14</v>
      </c>
      <c r="G204" t="s">
        <v>15</v>
      </c>
      <c r="H204" t="s">
        <v>22</v>
      </c>
      <c r="I204">
        <v>55.08</v>
      </c>
      <c r="J204" s="8">
        <f t="shared" si="39"/>
        <v>-4.8704663212435238E-2</v>
      </c>
      <c r="K204" s="8">
        <f t="shared" si="40"/>
        <v>0.11814859926918442</v>
      </c>
      <c r="L204">
        <f t="shared" si="41"/>
        <v>-4.8443663212435241E-2</v>
      </c>
      <c r="M204">
        <f t="shared" si="42"/>
        <v>0.29529433741821437</v>
      </c>
      <c r="N204" s="15">
        <v>-2.61E-4</v>
      </c>
      <c r="O204" s="8">
        <f>(I204 - MAX(I122:I204)) / MAX(I122:I204)</f>
        <v>-0.19296703296703299</v>
      </c>
      <c r="P204" s="15">
        <v>-4.41E-2</v>
      </c>
      <c r="Q204">
        <f t="shared" si="43"/>
        <v>1.2906540908845747</v>
      </c>
      <c r="R204">
        <f t="shared" si="44"/>
        <v>6.4634240415663742E-3</v>
      </c>
      <c r="S204" s="15">
        <f t="shared" si="45"/>
        <v>8.1341761009865426E-2</v>
      </c>
    </row>
    <row r="205" spans="1:19" x14ac:dyDescent="0.3">
      <c r="A205" s="2">
        <v>44531</v>
      </c>
      <c r="B205">
        <v>2021</v>
      </c>
      <c r="C205">
        <v>12</v>
      </c>
      <c r="D205" s="5" t="s">
        <v>9</v>
      </c>
      <c r="E205" t="s">
        <v>13</v>
      </c>
      <c r="F205" t="s">
        <v>14</v>
      </c>
      <c r="G205" t="s">
        <v>15</v>
      </c>
      <c r="H205" t="s">
        <v>22</v>
      </c>
      <c r="I205">
        <v>60.77</v>
      </c>
      <c r="J205" s="8">
        <f t="shared" si="39"/>
        <v>0.10330428467683379</v>
      </c>
      <c r="K205" s="8">
        <f t="shared" si="40"/>
        <v>0.23365814047909117</v>
      </c>
      <c r="L205">
        <f t="shared" si="41"/>
        <v>0.10362428467683379</v>
      </c>
      <c r="M205">
        <f t="shared" si="42"/>
        <v>0.38464910747654357</v>
      </c>
      <c r="N205" s="15">
        <v>-3.2000000000000003E-4</v>
      </c>
      <c r="O205" s="8">
        <f>(I205 - MAX(I122:I205)) / MAX(I122:I205)</f>
        <v>-0.10959706959706955</v>
      </c>
      <c r="P205" s="15">
        <v>5.9800000000000013E-2</v>
      </c>
      <c r="Q205">
        <f t="shared" si="43"/>
        <v>1.3566961208135979</v>
      </c>
      <c r="R205">
        <f t="shared" si="44"/>
        <v>9.7216911717297426E-3</v>
      </c>
      <c r="S205" s="15">
        <f t="shared" si="45"/>
        <v>8.4128852256986311E-2</v>
      </c>
    </row>
    <row r="206" spans="1:19" x14ac:dyDescent="0.3">
      <c r="A206" s="2">
        <v>44562</v>
      </c>
      <c r="B206">
        <v>2022</v>
      </c>
      <c r="C206">
        <v>1</v>
      </c>
      <c r="D206" s="5" t="s">
        <v>9</v>
      </c>
      <c r="E206" t="s">
        <v>13</v>
      </c>
      <c r="F206" t="s">
        <v>14</v>
      </c>
      <c r="G206" t="s">
        <v>15</v>
      </c>
      <c r="H206" t="s">
        <v>22</v>
      </c>
      <c r="I206">
        <v>63</v>
      </c>
      <c r="J206" s="8">
        <f t="shared" si="39"/>
        <v>3.6695738028632498E-2</v>
      </c>
      <c r="K206" s="8">
        <f t="shared" si="40"/>
        <v>0.27892813641900194</v>
      </c>
      <c r="L206">
        <f t="shared" si="41"/>
        <v>3.6791738028632497E-2</v>
      </c>
      <c r="M206">
        <f t="shared" si="42"/>
        <v>0.54425183153273116</v>
      </c>
      <c r="N206" s="15">
        <v>-9.6000000000000002E-5</v>
      </c>
      <c r="O206" s="8">
        <f>(I206 - MAX(I122:I206)) / MAX(I122:I206)</f>
        <v>-7.6923076923076927E-2</v>
      </c>
      <c r="P206" s="15">
        <v>-3.0499999999999999E-2</v>
      </c>
      <c r="Q206">
        <f t="shared" si="43"/>
        <v>1.0316307681028647</v>
      </c>
      <c r="R206">
        <f t="shared" si="44"/>
        <v>2.5079690383635587E-2</v>
      </c>
      <c r="S206" s="15">
        <f t="shared" si="45"/>
        <v>7.6811402151978111E-2</v>
      </c>
    </row>
    <row r="207" spans="1:19" x14ac:dyDescent="0.3">
      <c r="A207" s="2">
        <v>44593</v>
      </c>
      <c r="B207">
        <v>2022</v>
      </c>
      <c r="C207">
        <v>2</v>
      </c>
      <c r="D207" s="5" t="s">
        <v>9</v>
      </c>
      <c r="E207" t="s">
        <v>13</v>
      </c>
      <c r="F207" t="s">
        <v>14</v>
      </c>
      <c r="G207" t="s">
        <v>15</v>
      </c>
      <c r="H207" t="s">
        <v>22</v>
      </c>
      <c r="I207">
        <v>52.51</v>
      </c>
      <c r="J207" s="8">
        <f t="shared" si="39"/>
        <v>-0.16650793650793655</v>
      </c>
      <c r="K207" s="8">
        <f t="shared" si="40"/>
        <v>6.5976451481933207E-2</v>
      </c>
      <c r="L207">
        <f t="shared" si="41"/>
        <v>-0.16663293650793654</v>
      </c>
      <c r="M207">
        <f t="shared" si="42"/>
        <v>0.11254941290170822</v>
      </c>
      <c r="N207" s="15">
        <v>1.25E-4</v>
      </c>
      <c r="O207" s="8">
        <f>(I207 - MAX(I122:I207)) / MAX(I122:I207)</f>
        <v>-0.23062271062271064</v>
      </c>
      <c r="P207" s="15">
        <v>-0.06</v>
      </c>
      <c r="Q207">
        <f t="shared" si="43"/>
        <v>1.15254019219089</v>
      </c>
      <c r="R207">
        <f t="shared" si="44"/>
        <v>-5.9334992636299756E-4</v>
      </c>
      <c r="S207" s="15">
        <f t="shared" si="45"/>
        <v>7.1147215222443869E-2</v>
      </c>
    </row>
    <row r="208" spans="1:19" x14ac:dyDescent="0.3">
      <c r="A208" s="2">
        <v>44621</v>
      </c>
      <c r="B208">
        <v>2022</v>
      </c>
      <c r="C208">
        <v>3</v>
      </c>
      <c r="D208" s="5" t="s">
        <v>9</v>
      </c>
      <c r="E208" t="s">
        <v>13</v>
      </c>
      <c r="F208" t="s">
        <v>14</v>
      </c>
      <c r="G208" t="s">
        <v>15</v>
      </c>
      <c r="H208" t="s">
        <v>22</v>
      </c>
      <c r="I208">
        <v>51.93</v>
      </c>
      <c r="J208" s="8">
        <f t="shared" si="39"/>
        <v>-1.1045515139973306E-2</v>
      </c>
      <c r="K208" s="8">
        <f t="shared" si="40"/>
        <v>5.4202192448234543E-2</v>
      </c>
      <c r="L208">
        <f t="shared" si="41"/>
        <v>-1.1280515139973307E-2</v>
      </c>
      <c r="M208">
        <f t="shared" si="42"/>
        <v>3.7626533340211488E-2</v>
      </c>
      <c r="N208" s="15">
        <v>2.3499999999999999E-4</v>
      </c>
      <c r="O208" s="8">
        <f>(I208 - MAX(I122:I208)) / MAX(I122:I208)</f>
        <v>-0.23912087912087912</v>
      </c>
      <c r="P208" s="15">
        <v>-5.5000000000000014E-3</v>
      </c>
      <c r="Q208">
        <f t="shared" si="43"/>
        <v>1.3401893004755154</v>
      </c>
      <c r="R208">
        <f t="shared" si="44"/>
        <v>1.9898199498149189E-3</v>
      </c>
      <c r="S208" s="15">
        <f t="shared" si="45"/>
        <v>6.9837686960998568E-2</v>
      </c>
    </row>
    <row r="209" spans="1:19" x14ac:dyDescent="0.3">
      <c r="A209" s="2">
        <v>44652</v>
      </c>
      <c r="B209">
        <v>2022</v>
      </c>
      <c r="C209">
        <v>4</v>
      </c>
      <c r="D209" s="5" t="s">
        <v>9</v>
      </c>
      <c r="E209" t="s">
        <v>13</v>
      </c>
      <c r="F209" t="s">
        <v>14</v>
      </c>
      <c r="G209" t="s">
        <v>15</v>
      </c>
      <c r="H209" t="s">
        <v>22</v>
      </c>
      <c r="I209">
        <v>49.7</v>
      </c>
      <c r="J209" s="8">
        <f t="shared" si="39"/>
        <v>-4.2942422491815846E-2</v>
      </c>
      <c r="K209" s="8">
        <f t="shared" si="40"/>
        <v>8.9321965083239974E-3</v>
      </c>
      <c r="L209">
        <f t="shared" si="41"/>
        <v>-4.3564422491815843E-2</v>
      </c>
      <c r="M209">
        <f t="shared" si="42"/>
        <v>-4.899374134105227E-2</v>
      </c>
      <c r="N209" s="15">
        <v>6.2200000000000005E-4</v>
      </c>
      <c r="O209" s="8">
        <f>(I209 - MAX(I122:I209)) / MAX(I122:I209)</f>
        <v>-0.27179487179487177</v>
      </c>
      <c r="P209" s="15">
        <v>-2.5499999999999998E-2</v>
      </c>
      <c r="Q209">
        <f t="shared" si="43"/>
        <v>1.3470164683784998</v>
      </c>
      <c r="R209">
        <f t="shared" si="44"/>
        <v>4.6476927088507898E-4</v>
      </c>
      <c r="S209" s="15">
        <f t="shared" si="45"/>
        <v>7.0430850025384295E-2</v>
      </c>
    </row>
    <row r="210" spans="1:19" x14ac:dyDescent="0.3">
      <c r="A210" s="2">
        <v>44682</v>
      </c>
      <c r="B210">
        <v>2022</v>
      </c>
      <c r="C210">
        <v>5</v>
      </c>
      <c r="D210" s="5" t="s">
        <v>9</v>
      </c>
      <c r="E210" t="s">
        <v>13</v>
      </c>
      <c r="F210" t="s">
        <v>14</v>
      </c>
      <c r="G210" t="s">
        <v>15</v>
      </c>
      <c r="H210" t="s">
        <v>22</v>
      </c>
      <c r="I210">
        <v>53.11</v>
      </c>
      <c r="J210" s="8">
        <f t="shared" si="39"/>
        <v>6.8611670020120655E-2</v>
      </c>
      <c r="K210" s="8">
        <f t="shared" si="40"/>
        <v>7.815671944782876E-2</v>
      </c>
      <c r="L210">
        <f t="shared" si="41"/>
        <v>6.7817670020120652E-2</v>
      </c>
      <c r="M210">
        <f t="shared" si="42"/>
        <v>-2.292821223345632E-2</v>
      </c>
      <c r="N210" s="15">
        <v>7.94E-4</v>
      </c>
      <c r="O210" s="8">
        <f>(I210 - MAX(I122:I210)) / MAX(I122:I210)</f>
        <v>-0.22183150183150183</v>
      </c>
      <c r="P210" s="15">
        <v>-3.5999999999999999E-3</v>
      </c>
      <c r="Q210">
        <f t="shared" si="43"/>
        <v>1.3192328861758553</v>
      </c>
      <c r="R210">
        <f t="shared" si="44"/>
        <v>4.4757767166873942E-3</v>
      </c>
      <c r="S210" s="15">
        <f t="shared" si="45"/>
        <v>7.2154282257394786E-2</v>
      </c>
    </row>
    <row r="211" spans="1:19" x14ac:dyDescent="0.3">
      <c r="A211" s="2">
        <v>44713</v>
      </c>
      <c r="B211">
        <v>2022</v>
      </c>
      <c r="C211">
        <v>6</v>
      </c>
      <c r="D211" s="5" t="s">
        <v>9</v>
      </c>
      <c r="E211" t="s">
        <v>13</v>
      </c>
      <c r="F211" t="s">
        <v>14</v>
      </c>
      <c r="G211" t="s">
        <v>15</v>
      </c>
      <c r="H211" t="s">
        <v>22</v>
      </c>
      <c r="I211">
        <v>45.37</v>
      </c>
      <c r="J211" s="8">
        <f t="shared" si="39"/>
        <v>-0.145735266428168</v>
      </c>
      <c r="K211" s="8">
        <f t="shared" si="40"/>
        <v>-7.8968737312220205E-2</v>
      </c>
      <c r="L211">
        <f t="shared" si="41"/>
        <v>-0.14693926642816801</v>
      </c>
      <c r="M211">
        <f t="shared" si="42"/>
        <v>-0.11500195218886168</v>
      </c>
      <c r="N211" s="15">
        <v>1.204E-3</v>
      </c>
      <c r="O211" s="8">
        <f>(I211 - MAX(I122:I211)) / MAX(I122:I211)</f>
        <v>-0.33523809523809528</v>
      </c>
      <c r="P211" s="15">
        <v>-8.8200000000000001E-2</v>
      </c>
      <c r="Q211">
        <f t="shared" si="43"/>
        <v>1.4988209653600661</v>
      </c>
      <c r="R211">
        <f t="shared" si="44"/>
        <v>9.4504070989841846E-3</v>
      </c>
      <c r="S211" s="15">
        <f t="shared" si="45"/>
        <v>8.2372140810378455E-2</v>
      </c>
    </row>
    <row r="212" spans="1:19" x14ac:dyDescent="0.3">
      <c r="A212" s="2">
        <v>44743</v>
      </c>
      <c r="B212">
        <v>2022</v>
      </c>
      <c r="C212">
        <v>7</v>
      </c>
      <c r="D212" s="5" t="s">
        <v>9</v>
      </c>
      <c r="E212" t="s">
        <v>13</v>
      </c>
      <c r="F212" t="s">
        <v>14</v>
      </c>
      <c r="G212" t="s">
        <v>15</v>
      </c>
      <c r="H212" t="s">
        <v>22</v>
      </c>
      <c r="I212">
        <v>46</v>
      </c>
      <c r="J212" s="8">
        <f t="shared" si="39"/>
        <v>1.3885827639409359E-2</v>
      </c>
      <c r="K212" s="8">
        <f t="shared" si="40"/>
        <v>-6.6179455948030097E-2</v>
      </c>
      <c r="L212">
        <f t="shared" si="41"/>
        <v>1.2983827639409359E-2</v>
      </c>
      <c r="M212">
        <f t="shared" si="42"/>
        <v>-7.5025921474720425E-2</v>
      </c>
      <c r="N212" s="15">
        <v>9.0200000000000002E-4</v>
      </c>
      <c r="O212" s="8">
        <f>(I212 - MAX(I122:I212)) / MAX(I122:I212)</f>
        <v>-0.32600732600732601</v>
      </c>
      <c r="P212" s="15">
        <v>7.3300000000000004E-2</v>
      </c>
      <c r="Q212">
        <f t="shared" si="43"/>
        <v>1.2156403932715896</v>
      </c>
      <c r="R212">
        <f t="shared" si="44"/>
        <v>2.4959672386333622E-3</v>
      </c>
      <c r="S212" s="15">
        <f t="shared" si="45"/>
        <v>8.2426316947988562E-2</v>
      </c>
    </row>
    <row r="213" spans="1:19" x14ac:dyDescent="0.3">
      <c r="A213" s="2">
        <v>44774</v>
      </c>
      <c r="B213">
        <v>2022</v>
      </c>
      <c r="C213">
        <v>8</v>
      </c>
      <c r="D213" s="5" t="s">
        <v>9</v>
      </c>
      <c r="E213" t="s">
        <v>13</v>
      </c>
      <c r="F213" t="s">
        <v>14</v>
      </c>
      <c r="G213" t="s">
        <v>15</v>
      </c>
      <c r="H213" t="s">
        <v>22</v>
      </c>
      <c r="I213">
        <v>46.48</v>
      </c>
      <c r="J213" s="8">
        <f t="shared" si="39"/>
        <v>1.0434782608695584E-2</v>
      </c>
      <c r="K213" s="8">
        <f t="shared" si="40"/>
        <v>-5.6435241575313877E-2</v>
      </c>
      <c r="L213">
        <f t="shared" si="41"/>
        <v>9.5727826086955837E-3</v>
      </c>
      <c r="M213">
        <f t="shared" si="42"/>
        <v>-0.11239052167326485</v>
      </c>
      <c r="N213" s="15">
        <v>8.6200000000000003E-4</v>
      </c>
      <c r="O213" s="8">
        <f>(I213 - MAX(I122:I213)) / MAX(I122:I213)</f>
        <v>-0.318974358974359</v>
      </c>
      <c r="P213" s="15">
        <v>-5.1499999999999997E-2</v>
      </c>
      <c r="Q213">
        <f t="shared" si="43"/>
        <v>1.1060086262088469</v>
      </c>
      <c r="R213">
        <f t="shared" si="44"/>
        <v>6.0628066586678742E-3</v>
      </c>
      <c r="S213" s="15">
        <f t="shared" si="45"/>
        <v>8.1116278876474116E-2</v>
      </c>
    </row>
    <row r="214" spans="1:19" x14ac:dyDescent="0.3">
      <c r="A214" s="2">
        <v>44805</v>
      </c>
      <c r="B214">
        <v>2022</v>
      </c>
      <c r="C214">
        <v>9</v>
      </c>
      <c r="D214" s="5" t="s">
        <v>9</v>
      </c>
      <c r="E214" t="s">
        <v>13</v>
      </c>
      <c r="F214" t="s">
        <v>14</v>
      </c>
      <c r="G214" t="s">
        <v>15</v>
      </c>
      <c r="H214" t="s">
        <v>22</v>
      </c>
      <c r="I214">
        <v>43.6</v>
      </c>
      <c r="J214" s="8">
        <f t="shared" si="39"/>
        <v>-6.1962134251290782E-2</v>
      </c>
      <c r="K214" s="8">
        <f t="shared" si="40"/>
        <v>-0.11490052781161109</v>
      </c>
      <c r="L214">
        <f t="shared" si="41"/>
        <v>-6.3458134251290779E-2</v>
      </c>
      <c r="M214">
        <f t="shared" si="42"/>
        <v>-0.20995246389114966</v>
      </c>
      <c r="N214" s="15">
        <v>1.4959999999999999E-3</v>
      </c>
      <c r="O214" s="8">
        <f>(I214 - MAX(I122:I214)) / MAX(I122:I214)</f>
        <v>-0.36117216117216117</v>
      </c>
      <c r="P214" s="15">
        <v>-5.6599999999999998E-2</v>
      </c>
      <c r="Q214">
        <f t="shared" si="43"/>
        <v>1.1577892839314945</v>
      </c>
      <c r="R214">
        <f t="shared" si="44"/>
        <v>1.0365318593094711E-3</v>
      </c>
      <c r="S214" s="15">
        <f t="shared" si="45"/>
        <v>8.1362203331857175E-2</v>
      </c>
    </row>
    <row r="215" spans="1:19" x14ac:dyDescent="0.3">
      <c r="A215" s="2">
        <v>44835</v>
      </c>
      <c r="B215">
        <v>2022</v>
      </c>
      <c r="C215">
        <v>10</v>
      </c>
      <c r="D215" s="5" t="s">
        <v>9</v>
      </c>
      <c r="E215" t="s">
        <v>13</v>
      </c>
      <c r="F215" t="s">
        <v>14</v>
      </c>
      <c r="G215" t="s">
        <v>15</v>
      </c>
      <c r="H215" t="s">
        <v>22</v>
      </c>
      <c r="I215">
        <v>47.49</v>
      </c>
      <c r="J215" s="8">
        <f t="shared" si="39"/>
        <v>8.9220183486238544E-2</v>
      </c>
      <c r="K215" s="8">
        <f t="shared" si="40"/>
        <v>-3.5931790499390215E-2</v>
      </c>
      <c r="L215">
        <f t="shared" si="41"/>
        <v>8.739818348623854E-2</v>
      </c>
      <c r="M215">
        <f t="shared" si="42"/>
        <v>-0.15829697239231932</v>
      </c>
      <c r="N215" s="15">
        <v>1.8220000000000001E-3</v>
      </c>
      <c r="O215" s="8">
        <f>(I215 - MAX(I122:I215)) / MAX(I122:I215)</f>
        <v>-0.30417582417582417</v>
      </c>
      <c r="P215" s="15">
        <v>9.0200000000000002E-2</v>
      </c>
      <c r="Q215">
        <f t="shared" si="43"/>
        <v>1.1369292019584656</v>
      </c>
      <c r="R215">
        <f t="shared" si="44"/>
        <v>6.6142525860565446E-4</v>
      </c>
      <c r="S215" s="15">
        <f t="shared" si="45"/>
        <v>8.5351417403122687E-2</v>
      </c>
    </row>
    <row r="216" spans="1:19" x14ac:dyDescent="0.3">
      <c r="A216" s="2">
        <v>44866</v>
      </c>
      <c r="B216">
        <v>2022</v>
      </c>
      <c r="C216">
        <v>11</v>
      </c>
      <c r="D216" s="5" t="s">
        <v>9</v>
      </c>
      <c r="E216" t="s">
        <v>13</v>
      </c>
      <c r="F216" t="s">
        <v>14</v>
      </c>
      <c r="G216" t="s">
        <v>15</v>
      </c>
      <c r="H216" t="s">
        <v>22</v>
      </c>
      <c r="I216">
        <v>53.43</v>
      </c>
      <c r="J216" s="8">
        <f t="shared" si="39"/>
        <v>0.12507896399241941</v>
      </c>
      <c r="K216" s="8">
        <f t="shared" si="40"/>
        <v>8.4652862362972758E-2</v>
      </c>
      <c r="L216">
        <f t="shared" si="41"/>
        <v>0.12335696399241941</v>
      </c>
      <c r="M216">
        <f t="shared" si="42"/>
        <v>8.654467129374066E-3</v>
      </c>
      <c r="N216" s="15">
        <v>1.722E-3</v>
      </c>
      <c r="O216" s="8">
        <f>(I216 - MAX(I122:I216)) / MAX(I122:I216)</f>
        <v>-0.21714285714285714</v>
      </c>
      <c r="P216" s="15">
        <v>9.6000000000000002E-2</v>
      </c>
      <c r="Q216">
        <f t="shared" si="43"/>
        <v>1.1704671967566287</v>
      </c>
      <c r="R216">
        <f t="shared" si="44"/>
        <v>1.92442445379753E-3</v>
      </c>
      <c r="S216" s="15">
        <f t="shared" si="45"/>
        <v>9.3113528237379978E-2</v>
      </c>
    </row>
    <row r="217" spans="1:19" x14ac:dyDescent="0.3">
      <c r="A217" s="2">
        <v>44896</v>
      </c>
      <c r="B217">
        <v>2022</v>
      </c>
      <c r="C217">
        <v>12</v>
      </c>
      <c r="D217" s="5" t="s">
        <v>9</v>
      </c>
      <c r="E217" t="s">
        <v>13</v>
      </c>
      <c r="F217" t="s">
        <v>14</v>
      </c>
      <c r="G217" t="s">
        <v>15</v>
      </c>
      <c r="H217" t="s">
        <v>22</v>
      </c>
      <c r="I217">
        <v>53.25</v>
      </c>
      <c r="J217" s="8">
        <f t="shared" si="39"/>
        <v>-3.3688938798427798E-3</v>
      </c>
      <c r="K217" s="8">
        <f t="shared" si="40"/>
        <v>8.0998781973204315E-2</v>
      </c>
      <c r="L217">
        <f t="shared" si="41"/>
        <v>-5.1068938798427797E-3</v>
      </c>
      <c r="M217">
        <f t="shared" si="42"/>
        <v>-9.440971797263395E-2</v>
      </c>
      <c r="N217" s="15">
        <v>1.738E-3</v>
      </c>
      <c r="O217" s="8">
        <f>(I217 - MAX(I122:I217)) / MAX(I122:I217)</f>
        <v>-0.21978021978021978</v>
      </c>
      <c r="P217" s="15">
        <v>-4.3200000000000002E-2</v>
      </c>
      <c r="Q217">
        <f t="shared" si="43"/>
        <v>1.082888368807797</v>
      </c>
      <c r="R217">
        <f t="shared" si="44"/>
        <v>2.2603039283488439E-3</v>
      </c>
      <c r="S217" s="15">
        <f t="shared" si="45"/>
        <v>8.743891788080678E-2</v>
      </c>
    </row>
    <row r="218" spans="1:19" x14ac:dyDescent="0.3">
      <c r="A218" s="2">
        <v>44927</v>
      </c>
      <c r="B218">
        <v>2023</v>
      </c>
      <c r="C218">
        <v>1</v>
      </c>
      <c r="D218" s="5" t="s">
        <v>9</v>
      </c>
      <c r="E218" t="s">
        <v>13</v>
      </c>
      <c r="F218" t="s">
        <v>14</v>
      </c>
      <c r="G218" t="s">
        <v>15</v>
      </c>
      <c r="H218" t="s">
        <v>22</v>
      </c>
      <c r="I218">
        <v>62.9</v>
      </c>
      <c r="J218" s="8">
        <f t="shared" si="39"/>
        <v>0.18122065727699527</v>
      </c>
      <c r="K218" s="8">
        <f t="shared" si="40"/>
        <v>0.27689809175801972</v>
      </c>
      <c r="L218">
        <f t="shared" si="41"/>
        <v>0.17939365727699527</v>
      </c>
      <c r="M218">
        <f t="shared" si="42"/>
        <v>3.5338459688497921E-2</v>
      </c>
      <c r="N218" s="15">
        <v>1.8270000000000001E-3</v>
      </c>
      <c r="O218" s="8">
        <f>(I218 - MAX(I122:I218)) / MAX(I122:I218)</f>
        <v>-7.8388278388278415E-2</v>
      </c>
      <c r="P218" s="15">
        <v>9.7500000000000003E-2</v>
      </c>
      <c r="Q218">
        <f t="shared" si="43"/>
        <v>1.260081203993844</v>
      </c>
      <c r="R218">
        <f t="shared" si="44"/>
        <v>2.6254900621255333E-3</v>
      </c>
      <c r="S218" s="15">
        <f t="shared" si="45"/>
        <v>0.10267594359577079</v>
      </c>
    </row>
    <row r="219" spans="1:19" x14ac:dyDescent="0.3">
      <c r="A219" s="2">
        <v>44958</v>
      </c>
      <c r="B219">
        <v>2023</v>
      </c>
      <c r="C219">
        <v>2</v>
      </c>
      <c r="D219" s="5" t="s">
        <v>9</v>
      </c>
      <c r="E219" t="s">
        <v>13</v>
      </c>
      <c r="F219" t="s">
        <v>14</v>
      </c>
      <c r="G219" t="s">
        <v>15</v>
      </c>
      <c r="H219" t="s">
        <v>22</v>
      </c>
      <c r="I219">
        <v>66.150000000000006</v>
      </c>
      <c r="J219" s="8">
        <f t="shared" ref="J219:J250" si="46">(I219-I218)/I218</f>
        <v>5.1669316375198844E-2</v>
      </c>
      <c r="K219" s="8">
        <f t="shared" ref="K219:K250" si="47">(K218+1)*(J219+1)-1</f>
        <v>0.34287454323995248</v>
      </c>
      <c r="L219">
        <f t="shared" si="41"/>
        <v>4.9694316375198846E-2</v>
      </c>
      <c r="M219">
        <f t="shared" si="42"/>
        <v>0.24653452577634558</v>
      </c>
      <c r="N219" s="15">
        <v>1.9750000000000002E-3</v>
      </c>
      <c r="O219" s="8">
        <f>(I219 - MAX(I122:I219)) / MAX(I122:I219)</f>
        <v>-3.0769230769230688E-2</v>
      </c>
      <c r="P219" s="15">
        <v>1.7999999999999999E-2</v>
      </c>
      <c r="Q219">
        <f t="shared" si="43"/>
        <v>1.1322625986757191</v>
      </c>
      <c r="R219">
        <f t="shared" si="44"/>
        <v>1.3569344353239927E-2</v>
      </c>
      <c r="S219" s="15">
        <f t="shared" si="45"/>
        <v>8.7840357041829228E-2</v>
      </c>
    </row>
    <row r="220" spans="1:19" x14ac:dyDescent="0.3">
      <c r="A220" s="2">
        <v>44986</v>
      </c>
      <c r="B220">
        <v>2023</v>
      </c>
      <c r="C220">
        <v>3</v>
      </c>
      <c r="D220" s="5" t="s">
        <v>9</v>
      </c>
      <c r="E220" t="s">
        <v>13</v>
      </c>
      <c r="F220" t="s">
        <v>14</v>
      </c>
      <c r="G220" t="s">
        <v>15</v>
      </c>
      <c r="H220" t="s">
        <v>22</v>
      </c>
      <c r="I220">
        <v>55.21</v>
      </c>
      <c r="J220" s="8">
        <f t="shared" si="46"/>
        <v>-0.16538170823885115</v>
      </c>
      <c r="K220" s="8">
        <f t="shared" si="47"/>
        <v>0.12078765732846208</v>
      </c>
      <c r="L220">
        <f t="shared" si="41"/>
        <v>-0.16736770823885114</v>
      </c>
      <c r="M220">
        <f t="shared" si="42"/>
        <v>8.3787387097182642E-2</v>
      </c>
      <c r="N220" s="15">
        <v>1.9859999999999999E-3</v>
      </c>
      <c r="O220" s="8">
        <f>(I220 - MAX(I122:I220)) / MAX(I122:I220)</f>
        <v>-0.19106227106227106</v>
      </c>
      <c r="P220" s="15">
        <v>1.8100000000000002E-2</v>
      </c>
      <c r="Q220">
        <f t="shared" si="43"/>
        <v>1.0939705600619913</v>
      </c>
      <c r="R220">
        <f t="shared" si="44"/>
        <v>-1.1562964687965045E-3</v>
      </c>
      <c r="S220" s="15">
        <f t="shared" si="45"/>
        <v>0.10321857472089491</v>
      </c>
    </row>
    <row r="221" spans="1:19" x14ac:dyDescent="0.3">
      <c r="A221" s="2">
        <v>45017</v>
      </c>
      <c r="B221">
        <v>2023</v>
      </c>
      <c r="C221">
        <v>4</v>
      </c>
      <c r="D221" s="5" t="s">
        <v>9</v>
      </c>
      <c r="E221" t="s">
        <v>13</v>
      </c>
      <c r="F221" t="s">
        <v>14</v>
      </c>
      <c r="G221" t="s">
        <v>15</v>
      </c>
      <c r="H221" t="s">
        <v>22</v>
      </c>
      <c r="I221">
        <v>58.59</v>
      </c>
      <c r="J221" s="8">
        <f t="shared" si="46"/>
        <v>6.1220793334540891E-2</v>
      </c>
      <c r="K221" s="8">
        <f t="shared" si="47"/>
        <v>0.18940316686967207</v>
      </c>
      <c r="L221">
        <f t="shared" si="41"/>
        <v>5.9254793334540888E-2</v>
      </c>
      <c r="M221">
        <f t="shared" si="42"/>
        <v>0.16758389051586076</v>
      </c>
      <c r="N221" s="15">
        <v>1.9659999999999999E-3</v>
      </c>
      <c r="O221" s="8">
        <f>(I221 - MAX(I122:I221)) / MAX(I122:I221)</f>
        <v>-0.1415384615384615</v>
      </c>
      <c r="P221" s="15">
        <v>1.03E-2</v>
      </c>
      <c r="Q221">
        <f t="shared" si="43"/>
        <v>1.0790596913227708</v>
      </c>
      <c r="R221">
        <f t="shared" si="44"/>
        <v>4.4472701174570334E-3</v>
      </c>
      <c r="S221" s="15">
        <f t="shared" si="45"/>
        <v>0.10273471160200429</v>
      </c>
    </row>
    <row r="222" spans="1:19" x14ac:dyDescent="0.3">
      <c r="A222" s="2">
        <v>45047</v>
      </c>
      <c r="B222">
        <v>2023</v>
      </c>
      <c r="C222">
        <v>5</v>
      </c>
      <c r="D222" s="5" t="s">
        <v>9</v>
      </c>
      <c r="E222" t="s">
        <v>13</v>
      </c>
      <c r="F222" t="s">
        <v>14</v>
      </c>
      <c r="G222" t="s">
        <v>15</v>
      </c>
      <c r="H222" t="s">
        <v>22</v>
      </c>
      <c r="I222">
        <v>54.01</v>
      </c>
      <c r="J222" s="8">
        <f t="shared" si="46"/>
        <v>-7.817033623485245E-2</v>
      </c>
      <c r="K222" s="8">
        <f t="shared" si="47"/>
        <v>9.6427121396671422E-2</v>
      </c>
      <c r="L222">
        <f t="shared" si="41"/>
        <v>-8.0122336234852445E-2</v>
      </c>
      <c r="M222">
        <f t="shared" si="42"/>
        <v>4.656856946607385E-2</v>
      </c>
      <c r="N222" s="15">
        <v>1.952E-3</v>
      </c>
      <c r="O222" s="8">
        <f>(I222 - MAX(I122:I222)) / MAX(I122:I222)</f>
        <v>-0.20864468864468869</v>
      </c>
      <c r="P222" s="15">
        <v>-3.2400000000000012E-2</v>
      </c>
      <c r="Q222">
        <f t="shared" si="43"/>
        <v>1.1425433960577982</v>
      </c>
      <c r="R222">
        <f t="shared" si="44"/>
        <v>-5.7799597300826205E-3</v>
      </c>
      <c r="S222" s="15">
        <f t="shared" si="45"/>
        <v>0.10497098929072726</v>
      </c>
    </row>
    <row r="223" spans="1:19" x14ac:dyDescent="0.3">
      <c r="A223" s="2">
        <v>45078</v>
      </c>
      <c r="B223">
        <v>2023</v>
      </c>
      <c r="C223">
        <v>6</v>
      </c>
      <c r="D223" s="5" t="s">
        <v>9</v>
      </c>
      <c r="E223" t="s">
        <v>13</v>
      </c>
      <c r="F223" t="s">
        <v>14</v>
      </c>
      <c r="G223" t="s">
        <v>15</v>
      </c>
      <c r="H223" t="s">
        <v>22</v>
      </c>
      <c r="I223">
        <v>57.72</v>
      </c>
      <c r="J223" s="8">
        <f t="shared" si="46"/>
        <v>6.8690983151268301E-2</v>
      </c>
      <c r="K223" s="8">
        <f t="shared" si="47"/>
        <v>0.17174177831912374</v>
      </c>
      <c r="L223">
        <f t="shared" si="41"/>
        <v>6.6710983151268305E-2</v>
      </c>
      <c r="M223">
        <f t="shared" si="42"/>
        <v>0.24033847634119704</v>
      </c>
      <c r="N223" s="15">
        <v>1.98E-3</v>
      </c>
      <c r="O223" s="8">
        <f>(I223 - MAX(I122:I223)) / MAX(I122:I223)</f>
        <v>-0.1542857142857143</v>
      </c>
      <c r="P223" s="15">
        <v>4.2900000000000001E-2</v>
      </c>
      <c r="Q223">
        <f t="shared" si="43"/>
        <v>1.0435300616278704</v>
      </c>
      <c r="R223">
        <f t="shared" si="44"/>
        <v>1.6156639302549007E-3</v>
      </c>
      <c r="S223" s="15">
        <f t="shared" si="45"/>
        <v>9.4419073537960058E-2</v>
      </c>
    </row>
    <row r="224" spans="1:19" x14ac:dyDescent="0.3">
      <c r="A224" s="2">
        <v>45108</v>
      </c>
      <c r="B224">
        <v>2023</v>
      </c>
      <c r="C224">
        <v>7</v>
      </c>
      <c r="D224" s="5" t="s">
        <v>9</v>
      </c>
      <c r="E224" t="s">
        <v>13</v>
      </c>
      <c r="F224" t="s">
        <v>14</v>
      </c>
      <c r="G224" t="s">
        <v>15</v>
      </c>
      <c r="H224" t="s">
        <v>22</v>
      </c>
      <c r="I224">
        <v>60.02</v>
      </c>
      <c r="J224" s="8">
        <f t="shared" si="46"/>
        <v>3.9847539847539921E-2</v>
      </c>
      <c r="K224" s="8">
        <f t="shared" si="47"/>
        <v>0.2184328055217224</v>
      </c>
      <c r="L224">
        <f t="shared" si="41"/>
        <v>3.7800539847539921E-2</v>
      </c>
      <c r="M224">
        <f t="shared" si="42"/>
        <v>0.26214384912795929</v>
      </c>
      <c r="N224" s="15">
        <v>2.0470000000000002E-3</v>
      </c>
      <c r="O224" s="8">
        <f>(I224 - MAX(I122:I224)) / MAX(I122:I224)</f>
        <v>-0.12058608058608054</v>
      </c>
      <c r="P224" s="15">
        <v>1.6400000000000001E-2</v>
      </c>
      <c r="Q224">
        <f t="shared" si="43"/>
        <v>1.1460913374458115</v>
      </c>
      <c r="R224">
        <f t="shared" si="44"/>
        <v>7.155964125890462E-3</v>
      </c>
      <c r="S224" s="15">
        <f t="shared" si="45"/>
        <v>9.4454230777133386E-2</v>
      </c>
    </row>
    <row r="225" spans="1:19" x14ac:dyDescent="0.3">
      <c r="A225" s="2">
        <v>45139</v>
      </c>
      <c r="B225">
        <v>2023</v>
      </c>
      <c r="C225">
        <v>8</v>
      </c>
      <c r="D225" s="5" t="s">
        <v>9</v>
      </c>
      <c r="E225" t="s">
        <v>13</v>
      </c>
      <c r="F225" t="s">
        <v>14</v>
      </c>
      <c r="G225" t="s">
        <v>15</v>
      </c>
      <c r="H225" t="s">
        <v>22</v>
      </c>
      <c r="I225">
        <v>59.71</v>
      </c>
      <c r="J225" s="8">
        <f t="shared" si="46"/>
        <v>-5.1649450183272622E-3</v>
      </c>
      <c r="K225" s="8">
        <f t="shared" si="47"/>
        <v>0.21213966707267651</v>
      </c>
      <c r="L225">
        <f t="shared" si="41"/>
        <v>-7.2859450183272619E-3</v>
      </c>
      <c r="M225">
        <f t="shared" si="42"/>
        <v>0.24636096208725863</v>
      </c>
      <c r="N225" s="15">
        <v>2.1210000000000001E-3</v>
      </c>
      <c r="O225" s="8">
        <f>(I225 - MAX(I122:I225)) / MAX(I122:I225)</f>
        <v>-0.12512820512820511</v>
      </c>
      <c r="P225" s="15">
        <v>-3.9E-2</v>
      </c>
      <c r="Q225">
        <f t="shared" si="43"/>
        <v>1.2207446508756163</v>
      </c>
      <c r="R225">
        <f t="shared" si="44"/>
        <v>3.460819163216184E-3</v>
      </c>
      <c r="S225" s="15">
        <f t="shared" si="45"/>
        <v>9.4802770112366139E-2</v>
      </c>
    </row>
    <row r="226" spans="1:19" x14ac:dyDescent="0.3">
      <c r="A226" s="2">
        <v>45170</v>
      </c>
      <c r="B226">
        <v>2023</v>
      </c>
      <c r="C226">
        <v>9</v>
      </c>
      <c r="D226" s="5" t="s">
        <v>9</v>
      </c>
      <c r="E226" t="s">
        <v>13</v>
      </c>
      <c r="F226" t="s">
        <v>14</v>
      </c>
      <c r="G226" t="s">
        <v>15</v>
      </c>
      <c r="H226" t="s">
        <v>22</v>
      </c>
      <c r="I226">
        <v>60.43</v>
      </c>
      <c r="J226" s="8">
        <f t="shared" si="46"/>
        <v>1.2058281694858463E-2</v>
      </c>
      <c r="K226" s="8">
        <f t="shared" si="47"/>
        <v>0.22675598863175073</v>
      </c>
      <c r="L226">
        <f t="shared" si="41"/>
        <v>9.8402816948584635E-3</v>
      </c>
      <c r="M226">
        <f t="shared" si="42"/>
        <v>0.32398386078707947</v>
      </c>
      <c r="N226" s="15">
        <v>2.2179999999999999E-3</v>
      </c>
      <c r="O226" s="8">
        <f>(I226 - MAX(I122:I226)) / MAX(I122:I226)</f>
        <v>-0.11457875457875458</v>
      </c>
      <c r="P226" s="15">
        <v>-2.8500000000000001E-2</v>
      </c>
      <c r="Q226">
        <f t="shared" si="43"/>
        <v>1.1595035592290612</v>
      </c>
      <c r="R226">
        <f t="shared" si="44"/>
        <v>7.9216796059419781E-3</v>
      </c>
      <c r="S226" s="15">
        <f t="shared" si="45"/>
        <v>9.0942502230470748E-2</v>
      </c>
    </row>
    <row r="227" spans="1:19" x14ac:dyDescent="0.3">
      <c r="A227" s="2">
        <v>45200</v>
      </c>
      <c r="B227">
        <v>2023</v>
      </c>
      <c r="C227">
        <v>10</v>
      </c>
      <c r="D227" s="5" t="s">
        <v>9</v>
      </c>
      <c r="E227" t="s">
        <v>13</v>
      </c>
      <c r="F227" t="s">
        <v>14</v>
      </c>
      <c r="G227" t="s">
        <v>15</v>
      </c>
      <c r="H227" t="s">
        <v>22</v>
      </c>
      <c r="I227">
        <v>54.29</v>
      </c>
      <c r="J227" s="8">
        <f t="shared" si="46"/>
        <v>-0.10160516299851069</v>
      </c>
      <c r="K227" s="8">
        <f t="shared" si="47"/>
        <v>0.10211124644742253</v>
      </c>
      <c r="L227">
        <f t="shared" si="41"/>
        <v>-0.10395816299851068</v>
      </c>
      <c r="M227">
        <f t="shared" si="42"/>
        <v>0.14017554596608134</v>
      </c>
      <c r="N227" s="15">
        <v>2.3530000000000001E-3</v>
      </c>
      <c r="O227" s="8">
        <f>(I227 - MAX(I122:I227)) / MAX(I122:I227)</f>
        <v>-0.20454212454212456</v>
      </c>
      <c r="P227" s="15">
        <v>-2.7199999999999998E-2</v>
      </c>
      <c r="Q227">
        <f t="shared" si="43"/>
        <v>1.341723986693041</v>
      </c>
      <c r="R227">
        <f t="shared" si="44"/>
        <v>1.7757787366555911E-3</v>
      </c>
      <c r="S227" s="15">
        <f t="shared" si="45"/>
        <v>9.6432945433106709E-2</v>
      </c>
    </row>
    <row r="228" spans="1:19" x14ac:dyDescent="0.3">
      <c r="A228" s="2">
        <v>45231</v>
      </c>
      <c r="B228">
        <v>2023</v>
      </c>
      <c r="C228">
        <v>11</v>
      </c>
      <c r="D228" s="5" t="s">
        <v>9</v>
      </c>
      <c r="E228" t="s">
        <v>13</v>
      </c>
      <c r="F228" t="s">
        <v>14</v>
      </c>
      <c r="G228" t="s">
        <v>15</v>
      </c>
      <c r="H228" t="s">
        <v>22</v>
      </c>
      <c r="I228">
        <v>57.77</v>
      </c>
      <c r="J228" s="8">
        <f t="shared" si="46"/>
        <v>6.4100202615583052E-2</v>
      </c>
      <c r="K228" s="8">
        <f t="shared" si="47"/>
        <v>0.17275680064961518</v>
      </c>
      <c r="L228">
        <f t="shared" si="41"/>
        <v>6.1932202615583049E-2</v>
      </c>
      <c r="M228">
        <f t="shared" si="42"/>
        <v>9.1669309073795724E-2</v>
      </c>
      <c r="N228" s="15">
        <v>2.1679999999999998E-3</v>
      </c>
      <c r="O228" s="8">
        <f>(I228 - MAX(I122:I228)) / MAX(I122:I228)</f>
        <v>-0.15355311355311352</v>
      </c>
      <c r="P228" s="15">
        <v>7.9100000000000004E-2</v>
      </c>
      <c r="Q228">
        <f t="shared" si="43"/>
        <v>1.2318217841188317</v>
      </c>
      <c r="R228">
        <f t="shared" si="44"/>
        <v>-6.0057133885945378E-4</v>
      </c>
      <c r="S228" s="15">
        <f t="shared" si="45"/>
        <v>9.162074793980915E-2</v>
      </c>
    </row>
    <row r="229" spans="1:19" x14ac:dyDescent="0.3">
      <c r="A229" s="2">
        <v>45261</v>
      </c>
      <c r="B229">
        <v>2023</v>
      </c>
      <c r="C229">
        <v>12</v>
      </c>
      <c r="D229" s="5" t="s">
        <v>9</v>
      </c>
      <c r="E229" t="s">
        <v>13</v>
      </c>
      <c r="F229" t="s">
        <v>14</v>
      </c>
      <c r="G229" t="s">
        <v>15</v>
      </c>
      <c r="H229" t="s">
        <v>22</v>
      </c>
      <c r="I229">
        <v>62.59</v>
      </c>
      <c r="J229" s="8">
        <f t="shared" si="46"/>
        <v>8.3434308464601009E-2</v>
      </c>
      <c r="K229" s="8">
        <f t="shared" si="47"/>
        <v>0.27060495330897383</v>
      </c>
      <c r="L229">
        <f t="shared" si="41"/>
        <v>8.1682308464601006E-2</v>
      </c>
      <c r="M229">
        <f t="shared" ref="M229:M260" si="48">(AVERAGE(J218:J229)-AVERAGE(N218:N229))/STDEV(J218:J229)</f>
        <v>0.16658667222934934</v>
      </c>
      <c r="N229" s="15">
        <v>1.7520000000000001E-3</v>
      </c>
      <c r="O229" s="8">
        <f>(I229 - MAX(I122:I229)) / MAX(I122:I229)</f>
        <v>-8.293040293040288E-2</v>
      </c>
      <c r="P229" s="15">
        <v>3.1800000000000002E-2</v>
      </c>
      <c r="Q229">
        <f t="shared" ref="Q229:Q260" si="49" xml:space="preserve"> _xlfn.COVARIANCE.P(J218:J229, P218:P229) / _xlfn.VAR.P(P218:P229)</f>
        <v>1.4106305205598648</v>
      </c>
      <c r="R229">
        <f t="shared" ref="R229:R260" si="50">AVERAGE(J218:J229)-(AVERAGE(N218:N229)+Q229*(AVERAGE(P218:P229)-AVERAGE(N218:N229)))</f>
        <v>-3.4892647543017172E-3</v>
      </c>
      <c r="S229" s="15">
        <f t="shared" ref="S229:S260" si="51">STDEV(J218:J229)</f>
        <v>9.3832501604029436E-2</v>
      </c>
    </row>
    <row r="230" spans="1:19" x14ac:dyDescent="0.3">
      <c r="A230" s="2">
        <v>45292</v>
      </c>
      <c r="B230">
        <v>2024</v>
      </c>
      <c r="C230">
        <v>1</v>
      </c>
      <c r="D230" s="5" t="s">
        <v>9</v>
      </c>
      <c r="E230" t="s">
        <v>13</v>
      </c>
      <c r="F230" t="s">
        <v>14</v>
      </c>
      <c r="G230" t="s">
        <v>15</v>
      </c>
      <c r="H230" t="s">
        <v>22</v>
      </c>
      <c r="I230">
        <v>62.55</v>
      </c>
      <c r="J230" s="8">
        <f t="shared" si="46"/>
        <v>-6.3907972519581808E-4</v>
      </c>
      <c r="K230" s="8">
        <f t="shared" si="47"/>
        <v>0.26979293544458072</v>
      </c>
      <c r="L230">
        <f t="shared" si="41"/>
        <v>-2.451079725195818E-3</v>
      </c>
      <c r="M230">
        <f t="shared" si="48"/>
        <v>6.0878659000483384E-3</v>
      </c>
      <c r="N230" s="15">
        <v>1.812E-3</v>
      </c>
      <c r="O230" s="8">
        <f>(I230 - MAX(I122:I230)) / MAX(I122:I230)</f>
        <v>-8.3516483516483553E-2</v>
      </c>
      <c r="P230" s="15">
        <v>2.8000000000000001E-2</v>
      </c>
      <c r="Q230">
        <f t="shared" si="49"/>
        <v>1.0605812372221739</v>
      </c>
      <c r="R230">
        <f t="shared" si="50"/>
        <v>-7.7570133836780686E-3</v>
      </c>
      <c r="S230" s="15">
        <f t="shared" si="51"/>
        <v>7.8437356126821664E-2</v>
      </c>
    </row>
    <row r="231" spans="1:19" x14ac:dyDescent="0.3">
      <c r="A231" s="2">
        <v>45323</v>
      </c>
      <c r="B231">
        <v>2024</v>
      </c>
      <c r="C231">
        <v>2</v>
      </c>
      <c r="D231" s="5" t="s">
        <v>9</v>
      </c>
      <c r="E231" t="s">
        <v>13</v>
      </c>
      <c r="F231" t="s">
        <v>14</v>
      </c>
      <c r="G231" t="s">
        <v>15</v>
      </c>
      <c r="H231" t="s">
        <v>22</v>
      </c>
      <c r="I231">
        <v>55.38</v>
      </c>
      <c r="J231" s="8">
        <f t="shared" si="46"/>
        <v>-0.11462829736211023</v>
      </c>
      <c r="K231" s="8">
        <f t="shared" si="47"/>
        <v>0.12423873325213242</v>
      </c>
      <c r="L231">
        <f t="shared" si="41"/>
        <v>-0.11657129736211023</v>
      </c>
      <c r="M231">
        <f t="shared" si="48"/>
        <v>-0.16023550083564553</v>
      </c>
      <c r="N231" s="15">
        <v>1.9430000000000001E-3</v>
      </c>
      <c r="O231" s="8">
        <f>(I231 - MAX(I122:I231)) / MAX(I122:I231)</f>
        <v>-0.18857142857142853</v>
      </c>
      <c r="P231" s="15">
        <v>4.9299999999999997E-2</v>
      </c>
      <c r="Q231">
        <f t="shared" si="49"/>
        <v>0.6623045031687399</v>
      </c>
      <c r="R231">
        <f t="shared" si="50"/>
        <v>-2.0249471310247534E-2</v>
      </c>
      <c r="S231" s="15">
        <f t="shared" si="51"/>
        <v>8.3489311894184043E-2</v>
      </c>
    </row>
    <row r="232" spans="1:19" x14ac:dyDescent="0.3">
      <c r="A232" s="2">
        <v>45352</v>
      </c>
      <c r="B232">
        <v>2024</v>
      </c>
      <c r="C232">
        <v>3</v>
      </c>
      <c r="D232" s="5" t="s">
        <v>9</v>
      </c>
      <c r="E232" t="s">
        <v>13</v>
      </c>
      <c r="F232" t="s">
        <v>14</v>
      </c>
      <c r="G232" t="s">
        <v>15</v>
      </c>
      <c r="H232" t="s">
        <v>22</v>
      </c>
      <c r="I232">
        <v>65.86</v>
      </c>
      <c r="J232" s="8">
        <f t="shared" si="46"/>
        <v>0.18923799205489339</v>
      </c>
      <c r="K232" s="8">
        <f t="shared" si="47"/>
        <v>0.33698741372310281</v>
      </c>
      <c r="L232">
        <f t="shared" si="41"/>
        <v>0.1872799920548934</v>
      </c>
      <c r="M232">
        <f t="shared" si="48"/>
        <v>0.18655016345405595</v>
      </c>
      <c r="N232" s="15">
        <v>1.9580000000000001E-3</v>
      </c>
      <c r="O232" s="8">
        <f>(I232 - MAX(I122:I232)) / MAX(I122:I232)</f>
        <v>-3.5018315018315024E-2</v>
      </c>
      <c r="P232" s="15">
        <v>4.2199999999999988E-2</v>
      </c>
      <c r="Q232">
        <f t="shared" si="49"/>
        <v>1.0104506644913562</v>
      </c>
      <c r="R232">
        <f t="shared" si="50"/>
        <v>3.6607497967448641E-3</v>
      </c>
      <c r="S232" s="15">
        <f t="shared" si="51"/>
        <v>8.6711386466700097E-2</v>
      </c>
    </row>
    <row r="233" spans="1:19" x14ac:dyDescent="0.3">
      <c r="A233" s="2">
        <v>45383</v>
      </c>
      <c r="B233">
        <v>2024</v>
      </c>
      <c r="C233">
        <v>4</v>
      </c>
      <c r="D233" s="5" t="s">
        <v>9</v>
      </c>
      <c r="E233" t="s">
        <v>13</v>
      </c>
      <c r="F233" t="s">
        <v>14</v>
      </c>
      <c r="G233" t="s">
        <v>15</v>
      </c>
      <c r="H233" t="s">
        <v>22</v>
      </c>
      <c r="I233">
        <v>67.61</v>
      </c>
      <c r="J233" s="8">
        <f t="shared" si="46"/>
        <v>2.6571515335560278E-2</v>
      </c>
      <c r="K233" s="8">
        <f t="shared" si="47"/>
        <v>0.37251319529029736</v>
      </c>
      <c r="L233">
        <f t="shared" si="41"/>
        <v>2.453351533556028E-2</v>
      </c>
      <c r="M233">
        <f t="shared" si="48"/>
        <v>0.1549535740373702</v>
      </c>
      <c r="N233" s="15">
        <v>2.0379999999999999E-3</v>
      </c>
      <c r="O233" s="8">
        <f>(I233 - MAX(I122:I233)) / MAX(I122:I233)</f>
        <v>-9.377289377289386E-3</v>
      </c>
      <c r="P233" s="15">
        <v>-3.1899999999999998E-2</v>
      </c>
      <c r="Q233">
        <f t="shared" si="49"/>
        <v>0.881498434080076</v>
      </c>
      <c r="R233">
        <f t="shared" si="50"/>
        <v>5.4697159477849356E-3</v>
      </c>
      <c r="S233" s="15">
        <f t="shared" si="51"/>
        <v>8.5719761986509338E-2</v>
      </c>
    </row>
    <row r="234" spans="1:19" x14ac:dyDescent="0.3">
      <c r="A234" s="2">
        <v>45413</v>
      </c>
      <c r="B234">
        <v>2024</v>
      </c>
      <c r="C234">
        <v>5</v>
      </c>
      <c r="D234" s="5" t="s">
        <v>9</v>
      </c>
      <c r="E234" t="s">
        <v>13</v>
      </c>
      <c r="F234" t="s">
        <v>14</v>
      </c>
      <c r="G234" t="s">
        <v>15</v>
      </c>
      <c r="H234" t="s">
        <v>22</v>
      </c>
      <c r="I234">
        <v>67.7</v>
      </c>
      <c r="J234" s="8">
        <f t="shared" si="46"/>
        <v>1.3311640289898449E-3</v>
      </c>
      <c r="K234" s="8">
        <f t="shared" si="47"/>
        <v>0.37434023548518192</v>
      </c>
      <c r="L234">
        <f t="shared" si="41"/>
        <v>-7.6883597101015493E-4</v>
      </c>
      <c r="M234">
        <f t="shared" si="48"/>
        <v>0.24633012306010785</v>
      </c>
      <c r="N234" s="15">
        <v>2.0999999999999999E-3</v>
      </c>
      <c r="O234" s="8">
        <f>(I234 - MAX(I122:I234)) / MAX(I122:I234)</f>
        <v>-8.0586080586080161E-3</v>
      </c>
      <c r="P234" s="15">
        <v>1.2699999999999999E-2</v>
      </c>
      <c r="Q234">
        <f t="shared" si="49"/>
        <v>0.72121505143495701</v>
      </c>
      <c r="R234">
        <f t="shared" si="50"/>
        <v>1.0801454388043915E-2</v>
      </c>
      <c r="S234" s="15">
        <f t="shared" si="51"/>
        <v>8.0767122294828395E-2</v>
      </c>
    </row>
    <row r="235" spans="1:19" x14ac:dyDescent="0.3">
      <c r="A235" s="2">
        <v>45444</v>
      </c>
      <c r="B235">
        <v>2024</v>
      </c>
      <c r="C235">
        <v>6</v>
      </c>
      <c r="D235" s="5" t="s">
        <v>9</v>
      </c>
      <c r="E235" t="s">
        <v>13</v>
      </c>
      <c r="F235" t="s">
        <v>14</v>
      </c>
      <c r="G235" t="s">
        <v>15</v>
      </c>
      <c r="H235" t="s">
        <v>22</v>
      </c>
      <c r="I235">
        <v>59.53</v>
      </c>
      <c r="J235" s="8">
        <f t="shared" si="46"/>
        <v>-0.12067946824224522</v>
      </c>
      <c r="K235" s="8">
        <f t="shared" si="47"/>
        <v>0.20848558668290806</v>
      </c>
      <c r="L235">
        <f t="shared" si="41"/>
        <v>-0.12274946824224522</v>
      </c>
      <c r="M235">
        <f t="shared" si="48"/>
        <v>4.6201719118441273E-2</v>
      </c>
      <c r="N235" s="15">
        <v>2.0699999999999998E-3</v>
      </c>
      <c r="O235" s="8">
        <f>(I235 - MAX(I122:I235)) / MAX(I122:I235)</f>
        <v>-0.12776556776556774</v>
      </c>
      <c r="P235" s="15">
        <v>-1.7999999999999999E-2</v>
      </c>
      <c r="Q235">
        <f t="shared" si="49"/>
        <v>0.87139916963673025</v>
      </c>
      <c r="R235">
        <f t="shared" si="50"/>
        <v>-2.4517268588293995E-3</v>
      </c>
      <c r="S235" s="15">
        <f t="shared" si="51"/>
        <v>8.8892887602467927E-2</v>
      </c>
    </row>
    <row r="236" spans="1:19" x14ac:dyDescent="0.3">
      <c r="A236" s="2">
        <v>45474</v>
      </c>
      <c r="B236">
        <v>2024</v>
      </c>
      <c r="C236">
        <v>7</v>
      </c>
      <c r="D236" s="5" t="s">
        <v>9</v>
      </c>
      <c r="E236" t="s">
        <v>13</v>
      </c>
      <c r="F236" t="s">
        <v>14</v>
      </c>
      <c r="G236" t="s">
        <v>15</v>
      </c>
      <c r="H236" t="s">
        <v>22</v>
      </c>
      <c r="I236">
        <v>63.46</v>
      </c>
      <c r="J236" s="8">
        <f t="shared" si="46"/>
        <v>6.6017134218041312E-2</v>
      </c>
      <c r="K236" s="8">
        <f t="shared" si="47"/>
        <v>0.28826634185952194</v>
      </c>
      <c r="L236">
        <f t="shared" si="41"/>
        <v>6.3968134218041317E-2</v>
      </c>
      <c r="M236">
        <f t="shared" si="48"/>
        <v>6.9779434278264121E-2</v>
      </c>
      <c r="N236" s="15">
        <v>2.049E-3</v>
      </c>
      <c r="O236" s="8">
        <f>(I236 - MAX(I122:I236)) / MAX(I122:I236)</f>
        <v>-7.0183150183150175E-2</v>
      </c>
      <c r="P236" s="15">
        <v>-4.3E-3</v>
      </c>
      <c r="Q236">
        <f t="shared" si="49"/>
        <v>0.80244431056167209</v>
      </c>
      <c r="R236">
        <f t="shared" si="50"/>
        <v>1.6322564211213031E-3</v>
      </c>
      <c r="S236" s="15">
        <f t="shared" si="51"/>
        <v>9.0107309608891531E-2</v>
      </c>
    </row>
    <row r="237" spans="1:19" x14ac:dyDescent="0.3">
      <c r="A237" s="2">
        <v>45505</v>
      </c>
      <c r="B237">
        <v>2024</v>
      </c>
      <c r="C237">
        <v>8</v>
      </c>
      <c r="D237" s="5" t="s">
        <v>9</v>
      </c>
      <c r="E237" t="s">
        <v>13</v>
      </c>
      <c r="F237" t="s">
        <v>14</v>
      </c>
      <c r="G237" t="s">
        <v>15</v>
      </c>
      <c r="H237" t="s">
        <v>22</v>
      </c>
      <c r="I237">
        <v>62.58</v>
      </c>
      <c r="J237" s="8">
        <f t="shared" si="46"/>
        <v>-1.3867002836432439E-2</v>
      </c>
      <c r="K237" s="8">
        <f t="shared" si="47"/>
        <v>0.27040194884287549</v>
      </c>
      <c r="L237">
        <f t="shared" si="41"/>
        <v>-1.5707002836432438E-2</v>
      </c>
      <c r="M237">
        <f t="shared" si="48"/>
        <v>6.1886075905431159E-2</v>
      </c>
      <c r="N237" s="15">
        <v>1.8400000000000001E-3</v>
      </c>
      <c r="O237" s="8">
        <f>(I237 - MAX(I122:I237)) / MAX(I122:I237)</f>
        <v>-8.3076923076923104E-2</v>
      </c>
      <c r="P237" s="15">
        <v>1.7500000000000002E-2</v>
      </c>
      <c r="Q237">
        <f t="shared" si="49"/>
        <v>0.88202142004481598</v>
      </c>
      <c r="R237">
        <f t="shared" si="50"/>
        <v>-3.7046698520176464E-3</v>
      </c>
      <c r="S237" s="15">
        <f t="shared" si="51"/>
        <v>9.0260728103123924E-2</v>
      </c>
    </row>
    <row r="238" spans="1:19" x14ac:dyDescent="0.3">
      <c r="A238" s="2">
        <v>45536</v>
      </c>
      <c r="B238">
        <v>2024</v>
      </c>
      <c r="C238">
        <v>9</v>
      </c>
      <c r="D238" s="5" t="s">
        <v>9</v>
      </c>
      <c r="E238" t="s">
        <v>13</v>
      </c>
      <c r="F238" t="s">
        <v>14</v>
      </c>
      <c r="G238" t="s">
        <v>15</v>
      </c>
      <c r="H238" t="s">
        <v>22</v>
      </c>
      <c r="I238">
        <v>61.55</v>
      </c>
      <c r="J238" s="8">
        <f t="shared" si="46"/>
        <v>-1.6458932566315136E-2</v>
      </c>
      <c r="K238" s="8">
        <f t="shared" si="47"/>
        <v>0.24949248883475517</v>
      </c>
      <c r="L238">
        <f t="shared" si="41"/>
        <v>-1.8264932566315135E-2</v>
      </c>
      <c r="M238">
        <f t="shared" si="48"/>
        <v>3.5839692314544008E-2</v>
      </c>
      <c r="N238" s="15">
        <v>1.8060000000000001E-3</v>
      </c>
      <c r="O238" s="8">
        <f>(I238 - MAX(I122:I238)) / MAX(I122:I238)</f>
        <v>-9.8168498168498208E-2</v>
      </c>
      <c r="P238" s="15">
        <v>8.6E-3</v>
      </c>
      <c r="Q238">
        <f t="shared" si="49"/>
        <v>1.0441751106549788</v>
      </c>
      <c r="R238">
        <f t="shared" si="50"/>
        <v>-1.1018867797975739E-2</v>
      </c>
      <c r="S238" s="15">
        <f t="shared" si="51"/>
        <v>9.0508061669991771E-2</v>
      </c>
    </row>
    <row r="239" spans="1:19" x14ac:dyDescent="0.3">
      <c r="A239" s="2">
        <v>45566</v>
      </c>
      <c r="B239">
        <v>2024</v>
      </c>
      <c r="C239">
        <v>10</v>
      </c>
      <c r="D239" s="5" t="s">
        <v>9</v>
      </c>
      <c r="E239" t="s">
        <v>13</v>
      </c>
      <c r="F239" t="s">
        <v>14</v>
      </c>
      <c r="G239" t="s">
        <v>15</v>
      </c>
      <c r="H239" t="s">
        <v>22</v>
      </c>
      <c r="I239">
        <v>62.75</v>
      </c>
      <c r="J239" s="8">
        <f t="shared" si="46"/>
        <v>1.9496344435418405E-2</v>
      </c>
      <c r="K239" s="8">
        <f t="shared" si="47"/>
        <v>0.27385302476654561</v>
      </c>
      <c r="L239">
        <f t="shared" si="41"/>
        <v>1.7638344435418406E-2</v>
      </c>
      <c r="M239">
        <f t="shared" si="48"/>
        <v>0.15918704742271692</v>
      </c>
      <c r="N239" s="15">
        <v>1.8580000000000001E-3</v>
      </c>
      <c r="O239" s="8">
        <f>(I239 - MAX(I122:I239)) / MAX(I122:I239)</f>
        <v>-8.0586080586080591E-2</v>
      </c>
      <c r="P239" s="15">
        <v>-3.4599999999999999E-2</v>
      </c>
      <c r="Q239">
        <f t="shared" si="49"/>
        <v>0.57503618521448319</v>
      </c>
      <c r="R239">
        <f t="shared" si="50"/>
        <v>5.8531457604169418E-3</v>
      </c>
      <c r="S239" s="15">
        <f t="shared" si="51"/>
        <v>8.403210930143859E-2</v>
      </c>
    </row>
    <row r="240" spans="1:19" x14ac:dyDescent="0.3">
      <c r="A240" s="2">
        <v>45597</v>
      </c>
      <c r="B240">
        <v>2024</v>
      </c>
      <c r="C240">
        <v>11</v>
      </c>
      <c r="D240" s="5" t="s">
        <v>9</v>
      </c>
      <c r="E240" t="s">
        <v>13</v>
      </c>
      <c r="F240" t="s">
        <v>14</v>
      </c>
      <c r="G240" t="s">
        <v>15</v>
      </c>
      <c r="H240" t="s">
        <v>22</v>
      </c>
      <c r="I240">
        <v>56.64</v>
      </c>
      <c r="J240" s="8">
        <f t="shared" si="46"/>
        <v>-9.737051792828684E-2</v>
      </c>
      <c r="K240" s="8">
        <f t="shared" si="47"/>
        <v>0.14981729598051219</v>
      </c>
      <c r="L240">
        <f t="shared" si="41"/>
        <v>-9.9291517928286846E-2</v>
      </c>
      <c r="M240">
        <f t="shared" si="48"/>
        <v>-6.6213744063444216E-4</v>
      </c>
      <c r="N240" s="15">
        <v>1.921E-3</v>
      </c>
      <c r="O240" s="8">
        <f>(I240 - MAX(I122:I240)) / MAX(I122:I240)</f>
        <v>-0.17010989010989011</v>
      </c>
      <c r="P240" s="15">
        <v>-4.7999999999999996E-3</v>
      </c>
      <c r="Q240">
        <f t="shared" si="49"/>
        <v>0.62924875107797107</v>
      </c>
      <c r="R240">
        <f t="shared" si="50"/>
        <v>-3.9049269800753269E-3</v>
      </c>
      <c r="S240" s="15">
        <f t="shared" si="51"/>
        <v>8.8330115976250567E-2</v>
      </c>
    </row>
    <row r="241" spans="1:19" x14ac:dyDescent="0.3">
      <c r="A241" s="2">
        <v>45627</v>
      </c>
      <c r="B241">
        <v>2024</v>
      </c>
      <c r="C241">
        <v>12</v>
      </c>
      <c r="D241" s="5" t="s">
        <v>9</v>
      </c>
      <c r="E241" t="s">
        <v>13</v>
      </c>
      <c r="F241" t="s">
        <v>14</v>
      </c>
      <c r="G241" t="s">
        <v>15</v>
      </c>
      <c r="H241" t="s">
        <v>22</v>
      </c>
      <c r="I241">
        <v>59.22</v>
      </c>
      <c r="J241" s="8">
        <f t="shared" si="46"/>
        <v>4.5550847457627087E-2</v>
      </c>
      <c r="K241" s="8">
        <f t="shared" si="47"/>
        <v>0.20219244823386173</v>
      </c>
      <c r="L241">
        <f t="shared" si="41"/>
        <v>4.3734847457627089E-2</v>
      </c>
      <c r="M241">
        <f t="shared" si="48"/>
        <v>-3.754234875180236E-2</v>
      </c>
      <c r="N241" s="15">
        <v>1.8159999999999999E-3</v>
      </c>
      <c r="O241" s="8">
        <f>(I241 - MAX(I122:I241)) / MAX(I122:I241)</f>
        <v>-0.13230769230769232</v>
      </c>
      <c r="P241" s="15">
        <v>1.35E-2</v>
      </c>
      <c r="Q241">
        <f t="shared" si="49"/>
        <v>0.449118584431415</v>
      </c>
      <c r="R241">
        <f t="shared" si="50"/>
        <v>-5.2788235807795366E-3</v>
      </c>
      <c r="S241" s="15">
        <f t="shared" si="51"/>
        <v>8.5790452682230109E-2</v>
      </c>
    </row>
    <row r="242" spans="1:19" x14ac:dyDescent="0.3">
      <c r="A242" s="2">
        <v>42005</v>
      </c>
      <c r="B242">
        <v>2015</v>
      </c>
      <c r="C242">
        <v>1</v>
      </c>
      <c r="D242" s="5" t="s">
        <v>9</v>
      </c>
      <c r="E242" t="s">
        <v>17</v>
      </c>
      <c r="F242" t="s">
        <v>18</v>
      </c>
      <c r="G242" t="s">
        <v>19</v>
      </c>
      <c r="H242" t="s">
        <v>22</v>
      </c>
      <c r="I242">
        <v>23.027000000000001</v>
      </c>
      <c r="J242" s="8">
        <v>3.2647203910489253E-2</v>
      </c>
      <c r="K242" s="8">
        <v>3.2647203910489253E-2</v>
      </c>
      <c r="L242">
        <f t="shared" si="41"/>
        <v>3.2322203910489254E-2</v>
      </c>
      <c r="M242" t="str">
        <f>IF(COUNT(J242:J242)&lt;12,"",(AVERAGE(J242:J242)-N242)/STDEV(J242:J242))</f>
        <v/>
      </c>
      <c r="N242" s="15">
        <v>3.2499999999999999E-4</v>
      </c>
      <c r="O242" s="8">
        <f>(I242 - MAX(I242:I242)) / MAX(I242:I242)</f>
        <v>0</v>
      </c>
      <c r="P242" s="15">
        <v>6.5199999999999994E-2</v>
      </c>
    </row>
    <row r="243" spans="1:19" x14ac:dyDescent="0.3">
      <c r="A243" s="2">
        <v>42036</v>
      </c>
      <c r="B243">
        <v>2015</v>
      </c>
      <c r="C243">
        <v>2</v>
      </c>
      <c r="D243" s="5" t="s">
        <v>9</v>
      </c>
      <c r="E243" t="s">
        <v>17</v>
      </c>
      <c r="F243" t="s">
        <v>18</v>
      </c>
      <c r="G243" t="s">
        <v>19</v>
      </c>
      <c r="H243" t="s">
        <v>22</v>
      </c>
      <c r="I243">
        <v>26.216999999999999</v>
      </c>
      <c r="J243" s="8">
        <f t="shared" ref="J243:J274" si="52">(I243-I242)/I242</f>
        <v>0.13853302644721405</v>
      </c>
      <c r="K243" s="8">
        <f t="shared" ref="K243:K274" si="53">(K242+1)*(J243+1)-1</f>
        <v>0.17570294632046268</v>
      </c>
      <c r="L243">
        <f t="shared" si="41"/>
        <v>0.13828102644721404</v>
      </c>
      <c r="M243" t="str">
        <f>IF(COUNT(J242:J243)&lt;12,"",(AVERAGE(J242:J243)-N243)/STDEV(J242:J243))</f>
        <v/>
      </c>
      <c r="N243" s="15">
        <v>2.52E-4</v>
      </c>
      <c r="O243" s="8">
        <f>(I243 - MAX(I242:I243)) / MAX(I242:I243)</f>
        <v>0</v>
      </c>
      <c r="P243" s="15">
        <v>7.3899999999999993E-2</v>
      </c>
    </row>
    <row r="244" spans="1:19" x14ac:dyDescent="0.3">
      <c r="A244" s="2">
        <v>42064</v>
      </c>
      <c r="B244">
        <v>2015</v>
      </c>
      <c r="C244">
        <v>3</v>
      </c>
      <c r="D244" s="5" t="s">
        <v>9</v>
      </c>
      <c r="E244" t="s">
        <v>17</v>
      </c>
      <c r="F244" t="s">
        <v>18</v>
      </c>
      <c r="G244" t="s">
        <v>19</v>
      </c>
      <c r="H244" t="s">
        <v>22</v>
      </c>
      <c r="I244">
        <v>28.882000000000001</v>
      </c>
      <c r="J244" s="8">
        <f t="shared" si="52"/>
        <v>0.10165160010680103</v>
      </c>
      <c r="K244" s="8">
        <f t="shared" si="53"/>
        <v>0.29521503206421817</v>
      </c>
      <c r="L244">
        <f t="shared" si="41"/>
        <v>0.10146260010680104</v>
      </c>
      <c r="M244" t="str">
        <f>IF(COUNT(J242:J244)&lt;12,"",(AVERAGE(J242:J244)-N244)/STDEV(J242:J244))</f>
        <v/>
      </c>
      <c r="N244" s="15">
        <v>1.8900000000000001E-4</v>
      </c>
      <c r="O244" s="8">
        <f>(I244 - MAX(I242:I244)) / MAX(I242:I244)</f>
        <v>0</v>
      </c>
      <c r="P244" s="15">
        <v>2.7300000000000001E-2</v>
      </c>
    </row>
    <row r="245" spans="1:19" x14ac:dyDescent="0.3">
      <c r="A245" s="2">
        <v>42095</v>
      </c>
      <c r="B245">
        <v>2015</v>
      </c>
      <c r="C245">
        <v>4</v>
      </c>
      <c r="D245" s="5" t="s">
        <v>9</v>
      </c>
      <c r="E245" t="s">
        <v>17</v>
      </c>
      <c r="F245" t="s">
        <v>18</v>
      </c>
      <c r="G245" t="s">
        <v>19</v>
      </c>
      <c r="H245" t="s">
        <v>22</v>
      </c>
      <c r="I245">
        <v>25.637</v>
      </c>
      <c r="J245" s="8">
        <f t="shared" si="52"/>
        <v>-0.1123537151166817</v>
      </c>
      <c r="K245" s="8">
        <f t="shared" si="53"/>
        <v>0.14969281133683121</v>
      </c>
      <c r="L245">
        <f t="shared" si="41"/>
        <v>-0.1124557151166817</v>
      </c>
      <c r="M245" t="str">
        <f>IF(COUNT(J242:J245)&lt;12,"",(AVERAGE(J242:J245)-N245)/STDEV(J242:J245))</f>
        <v/>
      </c>
      <c r="N245" s="15">
        <v>1.02E-4</v>
      </c>
      <c r="O245" s="8">
        <f>(I245 - MAX(I242:I245)) / MAX(I242:I245)</f>
        <v>-0.1123537151166817</v>
      </c>
      <c r="P245" s="15">
        <v>-2.2100000000000002E-2</v>
      </c>
    </row>
    <row r="246" spans="1:19" x14ac:dyDescent="0.3">
      <c r="A246" s="2">
        <v>42125</v>
      </c>
      <c r="B246">
        <v>2015</v>
      </c>
      <c r="C246">
        <v>5</v>
      </c>
      <c r="D246" s="5" t="s">
        <v>9</v>
      </c>
      <c r="E246" t="s">
        <v>17</v>
      </c>
      <c r="F246" t="s">
        <v>18</v>
      </c>
      <c r="G246" t="s">
        <v>19</v>
      </c>
      <c r="H246" t="s">
        <v>22</v>
      </c>
      <c r="I246">
        <v>24.468</v>
      </c>
      <c r="J246" s="8">
        <f t="shared" si="52"/>
        <v>-4.5598158910949038E-2</v>
      </c>
      <c r="K246" s="8">
        <f t="shared" si="53"/>
        <v>9.7268935826718472E-2</v>
      </c>
      <c r="L246">
        <f t="shared" si="41"/>
        <v>-4.6061158910949036E-2</v>
      </c>
      <c r="M246" t="str">
        <f>IF(COUNT(J242:J246)&lt;12,"",(AVERAGE(J242:J246)-N246)/STDEV(J242:J246))</f>
        <v/>
      </c>
      <c r="N246" s="15">
        <v>4.6299999999999998E-4</v>
      </c>
      <c r="O246" s="8">
        <f>(I246 - MAX(I242:I246)) / MAX(I242:I246)</f>
        <v>-0.15282875147150479</v>
      </c>
      <c r="P246" s="15">
        <v>-1.24E-2</v>
      </c>
    </row>
    <row r="247" spans="1:19" x14ac:dyDescent="0.3">
      <c r="A247" s="2">
        <v>42156</v>
      </c>
      <c r="B247">
        <v>2015</v>
      </c>
      <c r="C247">
        <v>6</v>
      </c>
      <c r="D247" s="5" t="s">
        <v>9</v>
      </c>
      <c r="E247" t="s">
        <v>17</v>
      </c>
      <c r="F247" t="s">
        <v>18</v>
      </c>
      <c r="G247" t="s">
        <v>19</v>
      </c>
      <c r="H247" t="s">
        <v>22</v>
      </c>
      <c r="I247">
        <v>24.053000000000001</v>
      </c>
      <c r="J247" s="8">
        <f t="shared" si="52"/>
        <v>-1.6960928559751478E-2</v>
      </c>
      <c r="K247" s="8">
        <f t="shared" si="53"/>
        <v>7.8658235795326936E-2</v>
      </c>
      <c r="L247">
        <f t="shared" si="41"/>
        <v>-1.7621928559751476E-2</v>
      </c>
      <c r="M247" t="str">
        <f>IF(COUNT(J242:J247)&lt;12,"",(AVERAGE(J242:J247)-N247)/STDEV(J242:J247))</f>
        <v/>
      </c>
      <c r="N247" s="15">
        <v>6.6100000000000002E-4</v>
      </c>
      <c r="O247" s="8">
        <f>(I247 - MAX(I242:I247)) / MAX(I242:I247)</f>
        <v>-0.16719756249567205</v>
      </c>
      <c r="P247" s="15">
        <v>-4.0999999999999988E-2</v>
      </c>
    </row>
    <row r="248" spans="1:19" x14ac:dyDescent="0.3">
      <c r="A248" s="2">
        <v>42186</v>
      </c>
      <c r="B248">
        <v>2015</v>
      </c>
      <c r="C248">
        <v>7</v>
      </c>
      <c r="D248" s="5" t="s">
        <v>9</v>
      </c>
      <c r="E248" t="s">
        <v>17</v>
      </c>
      <c r="F248" t="s">
        <v>18</v>
      </c>
      <c r="G248" t="s">
        <v>19</v>
      </c>
      <c r="H248" t="s">
        <v>22</v>
      </c>
      <c r="I248">
        <v>28.577999999999999</v>
      </c>
      <c r="J248" s="8">
        <f t="shared" si="52"/>
        <v>0.18812622126138104</v>
      </c>
      <c r="K248" s="8">
        <f t="shared" si="53"/>
        <v>0.28158213372796959</v>
      </c>
      <c r="L248">
        <f t="shared" si="41"/>
        <v>0.18753422126138103</v>
      </c>
      <c r="M248" t="str">
        <f>IF(COUNT(J242:J248)&lt;12,"",(AVERAGE(J242:J248)-N248)/STDEV(J242:J248))</f>
        <v/>
      </c>
      <c r="N248" s="15">
        <v>5.9199999999999997E-4</v>
      </c>
      <c r="O248" s="8">
        <f>(I248 - MAX(I242:I248)) / MAX(I242:I248)</f>
        <v>-1.0525586870715396E-2</v>
      </c>
      <c r="P248" s="15">
        <v>5.1499999999999997E-2</v>
      </c>
    </row>
    <row r="249" spans="1:19" x14ac:dyDescent="0.3">
      <c r="A249" s="2">
        <v>42217</v>
      </c>
      <c r="B249">
        <v>2015</v>
      </c>
      <c r="C249">
        <v>8</v>
      </c>
      <c r="D249" s="5" t="s">
        <v>9</v>
      </c>
      <c r="E249" t="s">
        <v>17</v>
      </c>
      <c r="F249" t="s">
        <v>18</v>
      </c>
      <c r="G249" t="s">
        <v>19</v>
      </c>
      <c r="H249" t="s">
        <v>22</v>
      </c>
      <c r="I249">
        <v>23.451000000000001</v>
      </c>
      <c r="J249" s="8">
        <f t="shared" si="52"/>
        <v>-0.17940373714045765</v>
      </c>
      <c r="K249" s="8">
        <f t="shared" si="53"/>
        <v>5.1661509484730139E-2</v>
      </c>
      <c r="L249">
        <f t="shared" si="41"/>
        <v>-0.17991073714045766</v>
      </c>
      <c r="M249" t="str">
        <f>IF(COUNT(J242:J249)&lt;12,"",(AVERAGE(J242:J249)-N249)/STDEV(J242:J249))</f>
        <v/>
      </c>
      <c r="N249" s="15">
        <v>5.0699999999999996E-4</v>
      </c>
      <c r="O249" s="8">
        <f>(I249 - MAX(I242:I249)) / MAX(I242:I249)</f>
        <v>-0.18804099439097019</v>
      </c>
      <c r="P249" s="15">
        <v>-9.1899999999999996E-2</v>
      </c>
    </row>
    <row r="250" spans="1:19" x14ac:dyDescent="0.3">
      <c r="A250" s="2">
        <v>42248</v>
      </c>
      <c r="B250">
        <v>2015</v>
      </c>
      <c r="C250">
        <v>9</v>
      </c>
      <c r="D250" s="5" t="s">
        <v>9</v>
      </c>
      <c r="E250" t="s">
        <v>17</v>
      </c>
      <c r="F250" t="s">
        <v>18</v>
      </c>
      <c r="G250" t="s">
        <v>19</v>
      </c>
      <c r="H250" t="s">
        <v>22</v>
      </c>
      <c r="I250">
        <v>21.483000000000001</v>
      </c>
      <c r="J250" s="8">
        <f t="shared" si="52"/>
        <v>-8.3919662274529863E-2</v>
      </c>
      <c r="K250" s="8">
        <f t="shared" si="53"/>
        <v>-3.6593569218350663E-2</v>
      </c>
      <c r="L250">
        <f t="shared" si="41"/>
        <v>-8.4464662274529867E-2</v>
      </c>
      <c r="M250" t="str">
        <f>IF(COUNT(J242:J250)&lt;12,"",(AVERAGE(J242:J250)-N250)/STDEV(J242:J250))</f>
        <v/>
      </c>
      <c r="N250" s="15">
        <v>5.4500000000000002E-4</v>
      </c>
      <c r="O250" s="8">
        <f>(I250 - MAX(I242:I250)) / MAX(I242:I250)</f>
        <v>-0.25618031992244306</v>
      </c>
      <c r="P250" s="15">
        <v>-5.1700000000000003E-2</v>
      </c>
    </row>
    <row r="251" spans="1:19" x14ac:dyDescent="0.3">
      <c r="A251" s="2">
        <v>42278</v>
      </c>
      <c r="B251">
        <v>2015</v>
      </c>
      <c r="C251">
        <v>10</v>
      </c>
      <c r="D251" s="5" t="s">
        <v>9</v>
      </c>
      <c r="E251" t="s">
        <v>17</v>
      </c>
      <c r="F251" t="s">
        <v>18</v>
      </c>
      <c r="G251" t="s">
        <v>19</v>
      </c>
      <c r="H251" t="s">
        <v>22</v>
      </c>
      <c r="I251">
        <v>22.731999999999999</v>
      </c>
      <c r="J251" s="8">
        <f t="shared" si="52"/>
        <v>5.8138993622864531E-2</v>
      </c>
      <c r="K251" s="8">
        <f t="shared" si="53"/>
        <v>1.9417911117090236E-2</v>
      </c>
      <c r="L251">
        <f t="shared" si="41"/>
        <v>5.7706993622864529E-2</v>
      </c>
      <c r="M251" t="str">
        <f>IF(COUNT(J242:J251)&lt;12,"",(AVERAGE(J242:J251)-N251)/STDEV(J242:J251))</f>
        <v/>
      </c>
      <c r="N251" s="15">
        <v>4.3199999999999998E-4</v>
      </c>
      <c r="O251" s="8">
        <f>(I251 - MAX(I242:I251)) / MAX(I242:I251)</f>
        <v>-0.21293539228585284</v>
      </c>
      <c r="P251" s="15">
        <v>0.1024</v>
      </c>
    </row>
    <row r="252" spans="1:19" x14ac:dyDescent="0.3">
      <c r="A252" s="2">
        <v>42309</v>
      </c>
      <c r="B252">
        <v>2015</v>
      </c>
      <c r="C252">
        <v>11</v>
      </c>
      <c r="D252" s="5" t="s">
        <v>9</v>
      </c>
      <c r="E252" t="s">
        <v>17</v>
      </c>
      <c r="F252" t="s">
        <v>18</v>
      </c>
      <c r="G252" t="s">
        <v>19</v>
      </c>
      <c r="H252" t="s">
        <v>22</v>
      </c>
      <c r="I252">
        <v>21.692</v>
      </c>
      <c r="J252" s="8">
        <f t="shared" si="52"/>
        <v>-4.5750483899348902E-2</v>
      </c>
      <c r="K252" s="8">
        <f t="shared" si="53"/>
        <v>-2.7220951612180078E-2</v>
      </c>
      <c r="L252">
        <f t="shared" si="41"/>
        <v>-4.6180483899348902E-2</v>
      </c>
      <c r="M252" t="str">
        <f>IF(COUNT(J242:J252)&lt;12,"",(AVERAGE(J242:J252)-N252)/STDEV(J242:J252))</f>
        <v/>
      </c>
      <c r="N252" s="15">
        <v>4.2999999999999999E-4</v>
      </c>
      <c r="O252" s="8">
        <f>(I252 - MAX(I242:I252)) / MAX(I242:I252)</f>
        <v>-0.24894397894882628</v>
      </c>
      <c r="P252" s="15">
        <v>2.58E-2</v>
      </c>
    </row>
    <row r="253" spans="1:19" x14ac:dyDescent="0.3">
      <c r="A253" s="2">
        <v>42339</v>
      </c>
      <c r="B253">
        <v>2015</v>
      </c>
      <c r="C253">
        <v>12</v>
      </c>
      <c r="D253" s="5" t="s">
        <v>9</v>
      </c>
      <c r="E253" t="s">
        <v>17</v>
      </c>
      <c r="F253" t="s">
        <v>18</v>
      </c>
      <c r="G253" t="s">
        <v>19</v>
      </c>
      <c r="H253" t="s">
        <v>22</v>
      </c>
      <c r="I253">
        <v>20.103999999999999</v>
      </c>
      <c r="J253" s="8">
        <f t="shared" si="52"/>
        <v>-7.3206712151945463E-2</v>
      </c>
      <c r="K253" s="8">
        <f t="shared" si="53"/>
        <v>-9.8434907394950644E-2</v>
      </c>
      <c r="L253">
        <f t="shared" si="41"/>
        <v>-7.366171215194546E-2</v>
      </c>
      <c r="M253">
        <f t="shared" ref="M253:M284" si="54">(AVERAGE(J242:J253)-AVERAGE(N242:N253))/STDEV(J242:J253)</f>
        <v>-3.2884591601283764E-2</v>
      </c>
      <c r="N253" s="15">
        <v>4.55E-4</v>
      </c>
      <c r="O253" s="8">
        <f>(I253 - MAX(I242:I253)) / MAX(I242:I253)</f>
        <v>-0.30392632089190508</v>
      </c>
      <c r="P253" s="15">
        <v>-6.2300000000000001E-2</v>
      </c>
      <c r="Q253">
        <f t="shared" ref="Q253:Q284" si="55" xml:space="preserve"> _xlfn.COVARIANCE.P(J242:J253, P242:P253) / _xlfn.VAR.P(P242:P253)</f>
        <v>1.4293262839824781</v>
      </c>
      <c r="R253">
        <f t="shared" ref="R253:R284" si="56">AVERAGE(J242:J253)-(AVERAGE(N242:N253)+Q253*(AVERAGE(P242:P253)-AVERAGE(N242:N253)))</f>
        <v>-1.0703942516167943E-2</v>
      </c>
      <c r="S253" s="15">
        <f t="shared" ref="S253:S284" si="57">STDEV(J242:J253)</f>
        <v>0.10909200583177692</v>
      </c>
    </row>
    <row r="254" spans="1:19" x14ac:dyDescent="0.3">
      <c r="A254" s="2">
        <v>42370</v>
      </c>
      <c r="B254">
        <v>2016</v>
      </c>
      <c r="C254">
        <v>1</v>
      </c>
      <c r="D254" s="5" t="s">
        <v>9</v>
      </c>
      <c r="E254" t="s">
        <v>17</v>
      </c>
      <c r="F254" t="s">
        <v>18</v>
      </c>
      <c r="G254" t="s">
        <v>19</v>
      </c>
      <c r="H254" t="s">
        <v>22</v>
      </c>
      <c r="I254">
        <v>14.637</v>
      </c>
      <c r="J254" s="8">
        <f t="shared" si="52"/>
        <v>-0.27193593314763226</v>
      </c>
      <c r="K254" s="8">
        <f t="shared" si="53"/>
        <v>-0.3436028521458363</v>
      </c>
      <c r="L254">
        <f t="shared" si="41"/>
        <v>-0.27229493314763226</v>
      </c>
      <c r="M254">
        <f t="shared" si="54"/>
        <v>-0.21808779786580879</v>
      </c>
      <c r="N254" s="15">
        <v>3.59E-4</v>
      </c>
      <c r="O254" s="8">
        <f>(I254 - MAX(I242:I254)) / MAX(I242:I254)</f>
        <v>-0.4932137663596704</v>
      </c>
      <c r="P254" s="15">
        <v>-7.3899999999999993E-2</v>
      </c>
      <c r="Q254">
        <f t="shared" si="55"/>
        <v>1.7616538598025306</v>
      </c>
      <c r="R254">
        <f t="shared" si="56"/>
        <v>-1.7317839566241021E-2</v>
      </c>
      <c r="S254" s="15">
        <f t="shared" si="57"/>
        <v>0.13284653136843452</v>
      </c>
    </row>
    <row r="255" spans="1:19" x14ac:dyDescent="0.3">
      <c r="A255" s="2">
        <v>42401</v>
      </c>
      <c r="B255">
        <v>2016</v>
      </c>
      <c r="C255">
        <v>2</v>
      </c>
      <c r="D255" s="5" t="s">
        <v>9</v>
      </c>
      <c r="E255" t="s">
        <v>17</v>
      </c>
      <c r="F255" t="s">
        <v>18</v>
      </c>
      <c r="G255" t="s">
        <v>19</v>
      </c>
      <c r="H255" t="s">
        <v>22</v>
      </c>
      <c r="I255">
        <v>14.266999999999999</v>
      </c>
      <c r="J255" s="8">
        <f t="shared" si="52"/>
        <v>-2.5278404044544716E-2</v>
      </c>
      <c r="K255" s="8">
        <f t="shared" si="53"/>
        <v>-0.36019552446298064</v>
      </c>
      <c r="L255">
        <f t="shared" si="41"/>
        <v>-2.5422404044544714E-2</v>
      </c>
      <c r="M255">
        <f t="shared" si="54"/>
        <v>-0.34901743526512202</v>
      </c>
      <c r="N255" s="15">
        <v>1.44E-4</v>
      </c>
      <c r="O255" s="8">
        <f>(I255 - MAX(I242:I255)) / MAX(I242:I255)</f>
        <v>-0.50602451353784372</v>
      </c>
      <c r="P255" s="15">
        <v>-3.2599999999999997E-2</v>
      </c>
      <c r="Q255">
        <f t="shared" si="55"/>
        <v>1.6723833339868299</v>
      </c>
      <c r="R255">
        <f t="shared" si="56"/>
        <v>-1.6723018070837935E-2</v>
      </c>
      <c r="S255" s="15">
        <f t="shared" si="57"/>
        <v>0.12209751065548384</v>
      </c>
    </row>
    <row r="256" spans="1:19" x14ac:dyDescent="0.3">
      <c r="A256" s="2">
        <v>42430</v>
      </c>
      <c r="B256">
        <v>2016</v>
      </c>
      <c r="C256">
        <v>3</v>
      </c>
      <c r="D256" s="5" t="s">
        <v>9</v>
      </c>
      <c r="E256" t="s">
        <v>17</v>
      </c>
      <c r="F256" t="s">
        <v>18</v>
      </c>
      <c r="G256" t="s">
        <v>19</v>
      </c>
      <c r="H256" t="s">
        <v>22</v>
      </c>
      <c r="I256">
        <v>13.343</v>
      </c>
      <c r="J256" s="8">
        <f t="shared" si="52"/>
        <v>-6.4764841942945225E-2</v>
      </c>
      <c r="K256" s="8">
        <f t="shared" si="53"/>
        <v>-0.40163236019552462</v>
      </c>
      <c r="L256">
        <f t="shared" si="41"/>
        <v>-6.490784194294523E-2</v>
      </c>
      <c r="M256">
        <f t="shared" si="54"/>
        <v>-0.49798188626165046</v>
      </c>
      <c r="N256" s="15">
        <v>1.4300000000000001E-4</v>
      </c>
      <c r="O256" s="8">
        <f>(I256 - MAX(I242:I256)) / MAX(I242:I256)</f>
        <v>-0.53801675784225467</v>
      </c>
      <c r="P256" s="15">
        <v>2.01E-2</v>
      </c>
      <c r="Q256">
        <f t="shared" si="55"/>
        <v>1.5000966443108676</v>
      </c>
      <c r="R256">
        <f t="shared" si="56"/>
        <v>-3.2360184702309336E-2</v>
      </c>
      <c r="S256" s="15">
        <f t="shared" si="57"/>
        <v>0.11341449374667301</v>
      </c>
    </row>
    <row r="257" spans="1:19" x14ac:dyDescent="0.3">
      <c r="A257" s="2">
        <v>42461</v>
      </c>
      <c r="B257">
        <v>2016</v>
      </c>
      <c r="C257">
        <v>4</v>
      </c>
      <c r="D257" s="5" t="s">
        <v>9</v>
      </c>
      <c r="E257" t="s">
        <v>17</v>
      </c>
      <c r="F257" t="s">
        <v>18</v>
      </c>
      <c r="G257" t="s">
        <v>19</v>
      </c>
      <c r="H257" t="s">
        <v>22</v>
      </c>
      <c r="I257">
        <v>14.7</v>
      </c>
      <c r="J257" s="8">
        <f t="shared" si="52"/>
        <v>0.10170126658172819</v>
      </c>
      <c r="K257" s="8">
        <f t="shared" si="53"/>
        <v>-0.34077761334589007</v>
      </c>
      <c r="L257">
        <f t="shared" si="41"/>
        <v>0.10158926658172819</v>
      </c>
      <c r="M257">
        <f t="shared" si="54"/>
        <v>-0.32099967929160561</v>
      </c>
      <c r="N257" s="15">
        <v>1.12E-4</v>
      </c>
      <c r="O257" s="8">
        <f>(I257 - MAX(I242:I257)) / MAX(I242:I257)</f>
        <v>-0.4910324769752788</v>
      </c>
      <c r="P257" s="15">
        <v>7.7000000000000002E-3</v>
      </c>
      <c r="Q257">
        <f t="shared" si="55"/>
        <v>1.5605452579177499</v>
      </c>
      <c r="R257">
        <f t="shared" si="56"/>
        <v>-1.742527879947129E-2</v>
      </c>
      <c r="S257" s="15">
        <f t="shared" si="57"/>
        <v>0.12037794493269474</v>
      </c>
    </row>
    <row r="258" spans="1:19" x14ac:dyDescent="0.3">
      <c r="A258" s="2">
        <v>42491</v>
      </c>
      <c r="B258">
        <v>2016</v>
      </c>
      <c r="C258">
        <v>5</v>
      </c>
      <c r="D258" s="5" t="s">
        <v>9</v>
      </c>
      <c r="E258" t="s">
        <v>17</v>
      </c>
      <c r="F258" t="s">
        <v>18</v>
      </c>
      <c r="G258" t="s">
        <v>19</v>
      </c>
      <c r="H258" t="s">
        <v>22</v>
      </c>
      <c r="I258">
        <v>14.329000000000001</v>
      </c>
      <c r="J258" s="8">
        <f t="shared" si="52"/>
        <v>-2.523809523809515E-2</v>
      </c>
      <c r="K258" s="8">
        <f t="shared" si="53"/>
        <v>-0.35741513072335085</v>
      </c>
      <c r="L258">
        <f t="shared" ref="L258:L321" si="58">J258-N258</f>
        <v>-2.534909523809515E-2</v>
      </c>
      <c r="M258">
        <f t="shared" si="54"/>
        <v>-0.3065842767277166</v>
      </c>
      <c r="N258" s="15">
        <v>1.11E-4</v>
      </c>
      <c r="O258" s="8">
        <f>(I258 - MAX(I242:I258)) / MAX(I242:I258)</f>
        <v>-0.50387784779447409</v>
      </c>
      <c r="P258" s="15">
        <v>1.1599999999999999E-2</v>
      </c>
      <c r="Q258">
        <f t="shared" si="55"/>
        <v>1.5440403663099291</v>
      </c>
      <c r="R258">
        <f t="shared" si="56"/>
        <v>-1.9057034204396299E-2</v>
      </c>
      <c r="S258" s="15">
        <f t="shared" si="57"/>
        <v>0.12040825056365033</v>
      </c>
    </row>
    <row r="259" spans="1:19" x14ac:dyDescent="0.3">
      <c r="A259" s="2">
        <v>42522</v>
      </c>
      <c r="B259">
        <v>2016</v>
      </c>
      <c r="C259">
        <v>6</v>
      </c>
      <c r="D259" s="5" t="s">
        <v>9</v>
      </c>
      <c r="E259" t="s">
        <v>17</v>
      </c>
      <c r="F259" t="s">
        <v>18</v>
      </c>
      <c r="G259" t="s">
        <v>19</v>
      </c>
      <c r="H259" t="s">
        <v>22</v>
      </c>
      <c r="I259">
        <v>11</v>
      </c>
      <c r="J259" s="8">
        <f t="shared" si="52"/>
        <v>-0.2323260520622514</v>
      </c>
      <c r="K259" s="8">
        <f t="shared" si="53"/>
        <v>-0.50670433651733271</v>
      </c>
      <c r="L259">
        <f t="shared" si="58"/>
        <v>-0.23231205206225142</v>
      </c>
      <c r="M259">
        <f t="shared" si="54"/>
        <v>-0.41315633417753367</v>
      </c>
      <c r="N259" s="15">
        <v>-1.4E-5</v>
      </c>
      <c r="O259" s="8">
        <f>(I259 - MAX(I242:I259)) / MAX(I242:I259)</f>
        <v>-0.61913994875701128</v>
      </c>
      <c r="P259" s="15">
        <v>-6.4899999999999999E-2</v>
      </c>
      <c r="Q259">
        <f t="shared" si="55"/>
        <v>1.7453855117718828</v>
      </c>
      <c r="R259">
        <f t="shared" si="56"/>
        <v>-3.124108844671197E-2</v>
      </c>
      <c r="S259" s="15">
        <f t="shared" si="57"/>
        <v>0.13265225654936832</v>
      </c>
    </row>
    <row r="260" spans="1:19" x14ac:dyDescent="0.3">
      <c r="A260" s="2">
        <v>42552</v>
      </c>
      <c r="B260">
        <v>2016</v>
      </c>
      <c r="C260">
        <v>7</v>
      </c>
      <c r="D260" s="5" t="s">
        <v>9</v>
      </c>
      <c r="E260" t="s">
        <v>17</v>
      </c>
      <c r="F260" t="s">
        <v>18</v>
      </c>
      <c r="G260" t="s">
        <v>19</v>
      </c>
      <c r="H260" t="s">
        <v>22</v>
      </c>
      <c r="I260">
        <v>10.731999999999999</v>
      </c>
      <c r="J260" s="8">
        <f t="shared" si="52"/>
        <v>-2.4363636363636424E-2</v>
      </c>
      <c r="K260" s="8">
        <f t="shared" si="53"/>
        <v>-0.51872281268218323</v>
      </c>
      <c r="L260">
        <f t="shared" si="58"/>
        <v>-2.4234636363636423E-2</v>
      </c>
      <c r="M260">
        <f t="shared" si="54"/>
        <v>-0.66179348198090182</v>
      </c>
      <c r="N260" s="15">
        <v>-1.2899999999999999E-4</v>
      </c>
      <c r="O260" s="8">
        <f>(I260 - MAX(I242:I260)) / MAX(I242:I260)</f>
        <v>-0.62841908455093143</v>
      </c>
      <c r="P260" s="15">
        <v>4.3999999999999997E-2</v>
      </c>
      <c r="Q260">
        <f t="shared" si="55"/>
        <v>1.4087622420743513</v>
      </c>
      <c r="R260">
        <f t="shared" si="56"/>
        <v>-5.2637522950821192E-2</v>
      </c>
      <c r="S260" s="15">
        <f t="shared" si="57"/>
        <v>0.10948056578243909</v>
      </c>
    </row>
    <row r="261" spans="1:19" x14ac:dyDescent="0.3">
      <c r="A261" s="2">
        <v>42583</v>
      </c>
      <c r="B261">
        <v>2016</v>
      </c>
      <c r="C261">
        <v>8</v>
      </c>
      <c r="D261" s="5" t="s">
        <v>9</v>
      </c>
      <c r="E261" t="s">
        <v>17</v>
      </c>
      <c r="F261" t="s">
        <v>18</v>
      </c>
      <c r="G261" t="s">
        <v>19</v>
      </c>
      <c r="H261" t="s">
        <v>22</v>
      </c>
      <c r="I261">
        <v>11.79</v>
      </c>
      <c r="J261" s="8">
        <f t="shared" si="52"/>
        <v>9.858367499068206E-2</v>
      </c>
      <c r="K261" s="8">
        <f t="shared" si="53"/>
        <v>-0.471276738867214</v>
      </c>
      <c r="L261">
        <f t="shared" si="58"/>
        <v>9.8693674990682059E-2</v>
      </c>
      <c r="M261">
        <f t="shared" si="54"/>
        <v>-0.43171461100005309</v>
      </c>
      <c r="N261" s="15">
        <v>-1.1E-4</v>
      </c>
      <c r="O261" s="8">
        <f>(I261 - MAX(I242:I261)) / MAX(I242:I261)</f>
        <v>-0.5917872723495603</v>
      </c>
      <c r="P261" s="15">
        <v>1.0800000000000001E-2</v>
      </c>
      <c r="Q261">
        <f t="shared" si="55"/>
        <v>1.4876796922163815</v>
      </c>
      <c r="R261">
        <f t="shared" si="56"/>
        <v>-4.1118966253559208E-2</v>
      </c>
      <c r="S261" s="15">
        <f t="shared" si="57"/>
        <v>0.11404870078425916</v>
      </c>
    </row>
    <row r="262" spans="1:19" x14ac:dyDescent="0.3">
      <c r="A262" s="2">
        <v>42614</v>
      </c>
      <c r="B262">
        <v>2016</v>
      </c>
      <c r="C262">
        <v>9</v>
      </c>
      <c r="D262" s="5" t="s">
        <v>9</v>
      </c>
      <c r="E262" t="s">
        <v>17</v>
      </c>
      <c r="F262" t="s">
        <v>18</v>
      </c>
      <c r="G262" t="s">
        <v>19</v>
      </c>
      <c r="H262" t="s">
        <v>22</v>
      </c>
      <c r="I262">
        <v>10.326000000000001</v>
      </c>
      <c r="J262" s="8">
        <f t="shared" si="52"/>
        <v>-0.12417302798982177</v>
      </c>
      <c r="K262" s="8">
        <f t="shared" si="53"/>
        <v>-0.5369299071707252</v>
      </c>
      <c r="L262">
        <f t="shared" si="58"/>
        <v>-0.12410302798982177</v>
      </c>
      <c r="M262">
        <f t="shared" si="54"/>
        <v>-0.45391638409370055</v>
      </c>
      <c r="N262" s="15">
        <v>-6.9999999999999994E-5</v>
      </c>
      <c r="O262" s="8">
        <f>(I262 - MAX(I242:I262)) / MAX(I242:I262)</f>
        <v>-0.64247628280589986</v>
      </c>
      <c r="P262" s="15">
        <v>-6.8999999999999999E-3</v>
      </c>
      <c r="Q262">
        <f t="shared" si="55"/>
        <v>1.5618109027293146</v>
      </c>
      <c r="R262">
        <f t="shared" si="56"/>
        <v>-4.9928469958624037E-2</v>
      </c>
      <c r="S262" s="15">
        <f t="shared" si="57"/>
        <v>0.11574750213518023</v>
      </c>
    </row>
    <row r="263" spans="1:19" x14ac:dyDescent="0.3">
      <c r="A263" s="2">
        <v>42644</v>
      </c>
      <c r="B263">
        <v>2016</v>
      </c>
      <c r="C263">
        <v>10</v>
      </c>
      <c r="D263" s="5" t="s">
        <v>9</v>
      </c>
      <c r="E263" t="s">
        <v>17</v>
      </c>
      <c r="F263" t="s">
        <v>18</v>
      </c>
      <c r="G263" t="s">
        <v>19</v>
      </c>
      <c r="H263" t="s">
        <v>22</v>
      </c>
      <c r="I263">
        <v>11.741</v>
      </c>
      <c r="J263" s="8">
        <f t="shared" si="52"/>
        <v>0.1370327329072244</v>
      </c>
      <c r="K263" s="8">
        <f t="shared" si="53"/>
        <v>-0.47347414682272759</v>
      </c>
      <c r="L263">
        <f t="shared" si="58"/>
        <v>0.1370307329072244</v>
      </c>
      <c r="M263">
        <f t="shared" si="54"/>
        <v>-0.36889515217532376</v>
      </c>
      <c r="N263" s="15">
        <v>1.9999999999999999E-6</v>
      </c>
      <c r="O263" s="8">
        <f>(I263 - MAX(I242:I263)) / MAX(I242:I263)</f>
        <v>-0.59348383075964273</v>
      </c>
      <c r="P263" s="15">
        <v>1.77E-2</v>
      </c>
      <c r="Q263">
        <f t="shared" si="55"/>
        <v>2.1323419000852128</v>
      </c>
      <c r="R263">
        <f t="shared" si="56"/>
        <v>-2.7389907074916349E-2</v>
      </c>
      <c r="S263" s="15">
        <f t="shared" si="57"/>
        <v>0.12450523071178816</v>
      </c>
    </row>
    <row r="264" spans="1:19" x14ac:dyDescent="0.3">
      <c r="A264" s="2">
        <v>42675</v>
      </c>
      <c r="B264">
        <v>2016</v>
      </c>
      <c r="C264">
        <v>11</v>
      </c>
      <c r="D264" s="5" t="s">
        <v>9</v>
      </c>
      <c r="E264" t="s">
        <v>17</v>
      </c>
      <c r="F264" t="s">
        <v>18</v>
      </c>
      <c r="G264" t="s">
        <v>19</v>
      </c>
      <c r="H264" t="s">
        <v>22</v>
      </c>
      <c r="I264">
        <v>13.263</v>
      </c>
      <c r="J264" s="8">
        <f t="shared" si="52"/>
        <v>0.12963120688186699</v>
      </c>
      <c r="K264" s="8">
        <f t="shared" si="53"/>
        <v>-0.405219965020853</v>
      </c>
      <c r="L264">
        <f t="shared" si="58"/>
        <v>0.129473206881867</v>
      </c>
      <c r="M264">
        <f t="shared" si="54"/>
        <v>-0.23280279535082074</v>
      </c>
      <c r="N264" s="15">
        <v>1.5799999999999999E-4</v>
      </c>
      <c r="O264" s="8">
        <f>(I264 - MAX(I242:I264)) / MAX(I242:I264)</f>
        <v>-0.54078664912402186</v>
      </c>
      <c r="P264" s="15">
        <v>-1.1999999999999999E-3</v>
      </c>
      <c r="Q264">
        <f t="shared" si="55"/>
        <v>2.3924306617127606</v>
      </c>
      <c r="R264">
        <f t="shared" si="56"/>
        <v>-5.1620388853862234E-3</v>
      </c>
      <c r="S264" s="15">
        <f t="shared" si="57"/>
        <v>0.13441233992827675</v>
      </c>
    </row>
    <row r="265" spans="1:19" x14ac:dyDescent="0.3">
      <c r="A265" s="2">
        <v>42705</v>
      </c>
      <c r="B265">
        <v>2016</v>
      </c>
      <c r="C265">
        <v>12</v>
      </c>
      <c r="D265" s="5" t="s">
        <v>9</v>
      </c>
      <c r="E265" t="s">
        <v>17</v>
      </c>
      <c r="F265" t="s">
        <v>18</v>
      </c>
      <c r="G265" t="s">
        <v>19</v>
      </c>
      <c r="H265" t="s">
        <v>22</v>
      </c>
      <c r="I265">
        <v>15.396000000000001</v>
      </c>
      <c r="J265" s="8">
        <f t="shared" si="52"/>
        <v>0.16082334313503738</v>
      </c>
      <c r="K265" s="8">
        <f t="shared" si="53"/>
        <v>-0.30956545136553204</v>
      </c>
      <c r="L265">
        <f t="shared" si="58"/>
        <v>0.16061334313503739</v>
      </c>
      <c r="M265">
        <f t="shared" si="54"/>
        <v>-8.1516269592509127E-2</v>
      </c>
      <c r="N265" s="15">
        <v>2.1000000000000001E-4</v>
      </c>
      <c r="O265" s="8">
        <f>(I265 - MAX(I242:I265)) / MAX(I242:I265)</f>
        <v>-0.46693442282390418</v>
      </c>
      <c r="P265" s="15">
        <v>7.8299999999999995E-2</v>
      </c>
      <c r="Q265">
        <f t="shared" si="55"/>
        <v>2.5678524093162305</v>
      </c>
      <c r="R265">
        <f t="shared" si="56"/>
        <v>-1.3862302855428176E-2</v>
      </c>
      <c r="S265" s="15">
        <f t="shared" si="57"/>
        <v>0.14437175854418408</v>
      </c>
    </row>
    <row r="266" spans="1:19" x14ac:dyDescent="0.3">
      <c r="A266" s="2">
        <v>42736</v>
      </c>
      <c r="B266">
        <v>2017</v>
      </c>
      <c r="C266">
        <v>1</v>
      </c>
      <c r="D266" s="5" t="s">
        <v>9</v>
      </c>
      <c r="E266" t="s">
        <v>17</v>
      </c>
      <c r="F266" t="s">
        <v>18</v>
      </c>
      <c r="G266" t="s">
        <v>19</v>
      </c>
      <c r="H266" t="s">
        <v>22</v>
      </c>
      <c r="I266">
        <v>16.413</v>
      </c>
      <c r="J266" s="8">
        <f t="shared" si="52"/>
        <v>6.6056118472330436E-2</v>
      </c>
      <c r="K266" s="8">
        <f t="shared" si="53"/>
        <v>-0.2639580250235436</v>
      </c>
      <c r="L266">
        <f t="shared" si="58"/>
        <v>6.5847118472330435E-2</v>
      </c>
      <c r="M266">
        <f t="shared" si="54"/>
        <v>0.13688998802888377</v>
      </c>
      <c r="N266" s="15">
        <v>2.0900000000000001E-4</v>
      </c>
      <c r="O266" s="8">
        <f>(I266 - MAX(I242:I266)) / MAX(I242:I266)</f>
        <v>-0.43172217990443879</v>
      </c>
      <c r="P266" s="15">
        <v>-1.8200000000000001E-2</v>
      </c>
      <c r="Q266">
        <f t="shared" si="55"/>
        <v>1.9820446864589141</v>
      </c>
      <c r="R266">
        <f t="shared" si="56"/>
        <v>5.5690636980441962E-3</v>
      </c>
      <c r="S266" s="15">
        <f t="shared" si="57"/>
        <v>0.11987624038047801</v>
      </c>
    </row>
    <row r="267" spans="1:19" x14ac:dyDescent="0.3">
      <c r="A267" s="2">
        <v>42767</v>
      </c>
      <c r="B267">
        <v>2017</v>
      </c>
      <c r="C267">
        <v>2</v>
      </c>
      <c r="D267" s="5" t="s">
        <v>9</v>
      </c>
      <c r="E267" t="s">
        <v>17</v>
      </c>
      <c r="F267" t="s">
        <v>18</v>
      </c>
      <c r="G267" t="s">
        <v>19</v>
      </c>
      <c r="H267" t="s">
        <v>22</v>
      </c>
      <c r="I267">
        <v>16.600999999999999</v>
      </c>
      <c r="J267" s="8">
        <f t="shared" si="52"/>
        <v>1.1454334978370732E-2</v>
      </c>
      <c r="K267" s="8">
        <f t="shared" si="53"/>
        <v>-0.25552715368402179</v>
      </c>
      <c r="L267">
        <f t="shared" si="58"/>
        <v>1.1239334978370732E-2</v>
      </c>
      <c r="M267">
        <f t="shared" si="54"/>
        <v>0.16332421108552067</v>
      </c>
      <c r="N267" s="15">
        <v>2.1499999999999999E-4</v>
      </c>
      <c r="O267" s="8">
        <f>(I267 - MAX(I242:I267)) / MAX(I242:I267)</f>
        <v>-0.42521293539228594</v>
      </c>
      <c r="P267" s="15">
        <v>2.75E-2</v>
      </c>
      <c r="Q267">
        <f t="shared" si="55"/>
        <v>2.0305591042481597</v>
      </c>
      <c r="R267">
        <f t="shared" si="56"/>
        <v>-1.7988436972205223E-3</v>
      </c>
      <c r="S267" s="15">
        <f t="shared" si="57"/>
        <v>0.11918013808139659</v>
      </c>
    </row>
    <row r="268" spans="1:19" x14ac:dyDescent="0.3">
      <c r="A268" s="2">
        <v>42795</v>
      </c>
      <c r="B268">
        <v>2017</v>
      </c>
      <c r="C268">
        <v>3</v>
      </c>
      <c r="D268" s="5" t="s">
        <v>9</v>
      </c>
      <c r="E268" t="s">
        <v>17</v>
      </c>
      <c r="F268" t="s">
        <v>18</v>
      </c>
      <c r="G268" t="s">
        <v>19</v>
      </c>
      <c r="H268" t="s">
        <v>22</v>
      </c>
      <c r="I268">
        <v>16.149999999999999</v>
      </c>
      <c r="J268" s="8">
        <f t="shared" si="52"/>
        <v>-2.7167038130233152E-2</v>
      </c>
      <c r="K268" s="8">
        <f t="shared" si="53"/>
        <v>-0.27575227588681117</v>
      </c>
      <c r="L268">
        <f t="shared" si="58"/>
        <v>-2.745703813023315E-2</v>
      </c>
      <c r="M268">
        <f t="shared" si="54"/>
        <v>0.19264519808147529</v>
      </c>
      <c r="N268" s="15">
        <v>2.9E-4</v>
      </c>
      <c r="O268" s="8">
        <f>(I268 - MAX(I242:I268)) / MAX(I242:I268)</f>
        <v>-0.44082819749324847</v>
      </c>
      <c r="P268" s="15">
        <v>5.4600000000000003E-2</v>
      </c>
      <c r="Q268">
        <f t="shared" si="55"/>
        <v>1.6998386212613612</v>
      </c>
      <c r="R268">
        <f t="shared" si="56"/>
        <v>-8.0879054712972714E-5</v>
      </c>
      <c r="S268" s="15">
        <f t="shared" si="57"/>
        <v>0.11724093085040867</v>
      </c>
    </row>
    <row r="269" spans="1:19" x14ac:dyDescent="0.3">
      <c r="A269" s="2">
        <v>42826</v>
      </c>
      <c r="B269">
        <v>2017</v>
      </c>
      <c r="C269">
        <v>4</v>
      </c>
      <c r="D269" s="5" t="s">
        <v>9</v>
      </c>
      <c r="E269" t="s">
        <v>17</v>
      </c>
      <c r="F269" t="s">
        <v>18</v>
      </c>
      <c r="G269" t="s">
        <v>19</v>
      </c>
      <c r="H269" t="s">
        <v>22</v>
      </c>
      <c r="I269">
        <v>16.53</v>
      </c>
      <c r="J269" s="8">
        <f t="shared" si="52"/>
        <v>2.3529411764706042E-2</v>
      </c>
      <c r="K269" s="8">
        <f t="shared" si="53"/>
        <v>-0.25871115296650071</v>
      </c>
      <c r="L269">
        <f t="shared" si="58"/>
        <v>2.3341411764706041E-2</v>
      </c>
      <c r="M269">
        <f t="shared" si="54"/>
        <v>0.14019498316613985</v>
      </c>
      <c r="N269" s="15">
        <v>1.8799999999999999E-4</v>
      </c>
      <c r="O269" s="8">
        <f>(I269 - MAX(I242:I269)) / MAX(I242:I269)</f>
        <v>-0.42767121390485424</v>
      </c>
      <c r="P269" s="15">
        <v>1.6799999999999999E-2</v>
      </c>
      <c r="Q269">
        <f t="shared" si="55"/>
        <v>1.7377175238636591</v>
      </c>
      <c r="R269">
        <f t="shared" si="56"/>
        <v>-8.4133997406444019E-3</v>
      </c>
      <c r="S269" s="15">
        <f t="shared" si="57"/>
        <v>0.1145921731008735</v>
      </c>
    </row>
    <row r="270" spans="1:19" x14ac:dyDescent="0.3">
      <c r="A270" s="2">
        <v>42856</v>
      </c>
      <c r="B270">
        <v>2017</v>
      </c>
      <c r="C270">
        <v>5</v>
      </c>
      <c r="D270" s="5" t="s">
        <v>9</v>
      </c>
      <c r="E270" t="s">
        <v>17</v>
      </c>
      <c r="F270" t="s">
        <v>18</v>
      </c>
      <c r="G270" t="s">
        <v>19</v>
      </c>
      <c r="H270" t="s">
        <v>22</v>
      </c>
      <c r="I270">
        <v>15.574999999999999</v>
      </c>
      <c r="J270" s="8">
        <f t="shared" si="52"/>
        <v>-5.7773744706594181E-2</v>
      </c>
      <c r="K270" s="8">
        <f t="shared" si="53"/>
        <v>-0.30153818556885958</v>
      </c>
      <c r="L270">
        <f t="shared" si="58"/>
        <v>-5.8053744706594183E-2</v>
      </c>
      <c r="M270">
        <f t="shared" si="54"/>
        <v>0.11496276612341648</v>
      </c>
      <c r="N270" s="15">
        <v>2.7999999999999998E-4</v>
      </c>
      <c r="O270" s="8">
        <f>(I270 - MAX(I242:I270)) / MAX(I242:I270)</f>
        <v>-0.46073679108095011</v>
      </c>
      <c r="P270" s="15">
        <v>-1.4E-3</v>
      </c>
      <c r="Q270">
        <f t="shared" si="55"/>
        <v>1.7791712754073654</v>
      </c>
      <c r="R270">
        <f t="shared" si="56"/>
        <v>-9.770240165945035E-3</v>
      </c>
      <c r="S270" s="15">
        <f t="shared" si="57"/>
        <v>0.11603635483874221</v>
      </c>
    </row>
    <row r="271" spans="1:19" x14ac:dyDescent="0.3">
      <c r="A271" s="2">
        <v>42887</v>
      </c>
      <c r="B271">
        <v>2017</v>
      </c>
      <c r="C271">
        <v>6</v>
      </c>
      <c r="D271" s="5" t="s">
        <v>9</v>
      </c>
      <c r="E271" t="s">
        <v>17</v>
      </c>
      <c r="F271" t="s">
        <v>18</v>
      </c>
      <c r="G271" t="s">
        <v>19</v>
      </c>
      <c r="H271" t="s">
        <v>22</v>
      </c>
      <c r="I271">
        <v>15.525</v>
      </c>
      <c r="J271" s="8">
        <f t="shared" si="52"/>
        <v>-3.2102728731941534E-3</v>
      </c>
      <c r="K271" s="8">
        <f t="shared" si="53"/>
        <v>-0.30378043858468984</v>
      </c>
      <c r="L271">
        <f t="shared" si="58"/>
        <v>-3.4192728731941534E-3</v>
      </c>
      <c r="M271">
        <f t="shared" si="54"/>
        <v>0.37179586727661323</v>
      </c>
      <c r="N271" s="15">
        <v>2.0900000000000001E-4</v>
      </c>
      <c r="O271" s="8">
        <f>(I271 - MAX(I242:I271)) / MAX(I242:I271)</f>
        <v>-0.46246797313205457</v>
      </c>
      <c r="P271" s="15">
        <v>-3.1699999999999999E-2</v>
      </c>
      <c r="Q271">
        <f t="shared" si="55"/>
        <v>0.70990143471106082</v>
      </c>
      <c r="R271">
        <f t="shared" si="56"/>
        <v>2.1242303077035334E-2</v>
      </c>
      <c r="S271" s="15">
        <f t="shared" si="57"/>
        <v>8.7182944841016505E-2</v>
      </c>
    </row>
    <row r="272" spans="1:19" x14ac:dyDescent="0.3">
      <c r="A272" s="2">
        <v>42917</v>
      </c>
      <c r="B272">
        <v>2017</v>
      </c>
      <c r="C272">
        <v>7</v>
      </c>
      <c r="D272" s="5" t="s">
        <v>9</v>
      </c>
      <c r="E272" t="s">
        <v>17</v>
      </c>
      <c r="F272" t="s">
        <v>18</v>
      </c>
      <c r="G272" t="s">
        <v>19</v>
      </c>
      <c r="H272" t="s">
        <v>22</v>
      </c>
      <c r="I272">
        <v>15.09</v>
      </c>
      <c r="J272" s="8">
        <f t="shared" si="52"/>
        <v>-2.8019323671497617E-2</v>
      </c>
      <c r="K272" s="8">
        <f t="shared" si="53"/>
        <v>-0.3232880398224135</v>
      </c>
      <c r="L272">
        <f t="shared" si="58"/>
        <v>-2.8399323671497615E-2</v>
      </c>
      <c r="M272">
        <f t="shared" si="54"/>
        <v>0.36687667770274496</v>
      </c>
      <c r="N272" s="15">
        <v>3.8000000000000002E-4</v>
      </c>
      <c r="O272" s="8">
        <f>(I272 - MAX(I242:I272)) / MAX(I242:I272)</f>
        <v>-0.47752925697666371</v>
      </c>
      <c r="P272" s="15">
        <v>2.2000000000000001E-3</v>
      </c>
      <c r="Q272">
        <f t="shared" si="55"/>
        <v>1.0008516308816702</v>
      </c>
      <c r="R272">
        <f t="shared" si="56"/>
        <v>1.9845218218425678E-2</v>
      </c>
      <c r="S272" s="15">
        <f t="shared" si="57"/>
        <v>8.7405941184469677E-2</v>
      </c>
    </row>
    <row r="273" spans="1:19" x14ac:dyDescent="0.3">
      <c r="A273" s="2">
        <v>42948</v>
      </c>
      <c r="B273">
        <v>2017</v>
      </c>
      <c r="C273">
        <v>8</v>
      </c>
      <c r="D273" s="5" t="s">
        <v>9</v>
      </c>
      <c r="E273" t="s">
        <v>17</v>
      </c>
      <c r="F273" t="s">
        <v>18</v>
      </c>
      <c r="G273" t="s">
        <v>19</v>
      </c>
      <c r="H273" t="s">
        <v>22</v>
      </c>
      <c r="I273">
        <v>13.47</v>
      </c>
      <c r="J273" s="8">
        <f t="shared" si="52"/>
        <v>-0.10735586481113316</v>
      </c>
      <c r="K273" s="8">
        <f t="shared" si="53"/>
        <v>-0.39593703753531539</v>
      </c>
      <c r="L273">
        <f t="shared" si="58"/>
        <v>-0.10764386481113315</v>
      </c>
      <c r="M273">
        <f t="shared" si="54"/>
        <v>0.15954466779208734</v>
      </c>
      <c r="N273" s="15">
        <v>2.8800000000000001E-4</v>
      </c>
      <c r="O273" s="8">
        <f>(I273 - MAX(I242:I273)) / MAX(I242:I273)</f>
        <v>-0.53361955543244932</v>
      </c>
      <c r="P273" s="15">
        <v>-8.1000000000000013E-3</v>
      </c>
      <c r="Q273">
        <f t="shared" si="55"/>
        <v>1.2147779836295174</v>
      </c>
      <c r="R273">
        <f t="shared" si="56"/>
        <v>1.9916092118382103E-3</v>
      </c>
      <c r="S273" s="15">
        <f t="shared" si="57"/>
        <v>9.3217821288370001E-2</v>
      </c>
    </row>
    <row r="274" spans="1:19" x14ac:dyDescent="0.3">
      <c r="A274" s="2">
        <v>42979</v>
      </c>
      <c r="B274">
        <v>2017</v>
      </c>
      <c r="C274">
        <v>9</v>
      </c>
      <c r="D274" s="5" t="s">
        <v>9</v>
      </c>
      <c r="E274" t="s">
        <v>17</v>
      </c>
      <c r="F274" t="s">
        <v>18</v>
      </c>
      <c r="G274" t="s">
        <v>19</v>
      </c>
      <c r="H274" t="s">
        <v>22</v>
      </c>
      <c r="I274">
        <v>14.63</v>
      </c>
      <c r="J274" s="8">
        <f t="shared" si="52"/>
        <v>8.6117297698589459E-2</v>
      </c>
      <c r="K274" s="8">
        <f t="shared" si="53"/>
        <v>-0.34391676756805223</v>
      </c>
      <c r="L274">
        <f t="shared" si="58"/>
        <v>8.5828297698589462E-2</v>
      </c>
      <c r="M274">
        <f t="shared" si="54"/>
        <v>0.38545788605697373</v>
      </c>
      <c r="N274" s="15">
        <v>2.8899999999999998E-4</v>
      </c>
      <c r="O274" s="8">
        <f>(I274 - MAX(I242:I274)) / MAX(I242:I274)</f>
        <v>-0.49345613184682502</v>
      </c>
      <c r="P274" s="15">
        <v>5.0700000000000002E-2</v>
      </c>
      <c r="Q274">
        <f t="shared" si="55"/>
        <v>1.0536662087516331</v>
      </c>
      <c r="R274">
        <f t="shared" si="56"/>
        <v>1.6168146010212877E-2</v>
      </c>
      <c r="S274" s="15">
        <f t="shared" si="57"/>
        <v>8.396944164653064E-2</v>
      </c>
    </row>
    <row r="275" spans="1:19" x14ac:dyDescent="0.3">
      <c r="A275" s="2">
        <v>43009</v>
      </c>
      <c r="B275">
        <v>2017</v>
      </c>
      <c r="C275">
        <v>10</v>
      </c>
      <c r="D275" s="5" t="s">
        <v>9</v>
      </c>
      <c r="E275" t="s">
        <v>17</v>
      </c>
      <c r="F275" t="s">
        <v>18</v>
      </c>
      <c r="G275" t="s">
        <v>19</v>
      </c>
      <c r="H275" t="s">
        <v>22</v>
      </c>
      <c r="I275">
        <v>13.95</v>
      </c>
      <c r="J275" s="8">
        <f t="shared" ref="J275:J306" si="59">(I275-I274)/I274</f>
        <v>-4.6479835953520267E-2</v>
      </c>
      <c r="K275" s="8">
        <f t="shared" ref="K275:K306" si="60">(K274+1)*(J275+1)-1</f>
        <v>-0.37441140858334443</v>
      </c>
      <c r="L275">
        <f t="shared" si="58"/>
        <v>-4.6789835953520265E-2</v>
      </c>
      <c r="M275">
        <f t="shared" si="54"/>
        <v>0.21356225795106554</v>
      </c>
      <c r="N275" s="15">
        <v>3.1E-4</v>
      </c>
      <c r="O275" s="8">
        <f>(I275 - MAX(I242:I275)) / MAX(I242:I275)</f>
        <v>-0.51700020774184618</v>
      </c>
      <c r="P275" s="15">
        <v>1.8700000000000001E-2</v>
      </c>
      <c r="Q275">
        <f t="shared" si="55"/>
        <v>1.0142400531845512</v>
      </c>
      <c r="R275">
        <f t="shared" si="56"/>
        <v>1.3973954313610364E-3</v>
      </c>
      <c r="S275" s="15">
        <f t="shared" si="57"/>
        <v>7.9828256619983204E-2</v>
      </c>
    </row>
    <row r="276" spans="1:19" x14ac:dyDescent="0.3">
      <c r="A276" s="2">
        <v>43040</v>
      </c>
      <c r="B276">
        <v>2017</v>
      </c>
      <c r="C276">
        <v>11</v>
      </c>
      <c r="D276" s="5" t="s">
        <v>9</v>
      </c>
      <c r="E276" t="s">
        <v>17</v>
      </c>
      <c r="F276" t="s">
        <v>18</v>
      </c>
      <c r="G276" t="s">
        <v>19</v>
      </c>
      <c r="H276" t="s">
        <v>22</v>
      </c>
      <c r="I276">
        <v>15.86</v>
      </c>
      <c r="J276" s="8">
        <f t="shared" si="59"/>
        <v>0.13691756272401434</v>
      </c>
      <c r="K276" s="8">
        <f t="shared" si="60"/>
        <v>-0.28875734337862669</v>
      </c>
      <c r="L276">
        <f t="shared" si="58"/>
        <v>0.13666056272401433</v>
      </c>
      <c r="M276">
        <f t="shared" si="54"/>
        <v>0.21845424032519045</v>
      </c>
      <c r="N276" s="15">
        <v>2.5700000000000001E-4</v>
      </c>
      <c r="O276" s="8">
        <f>(I276 - MAX(I242:I276)) / MAX(I242:I276)</f>
        <v>-0.45086905338965449</v>
      </c>
      <c r="P276" s="15">
        <v>-2.52E-2</v>
      </c>
      <c r="Q276">
        <f t="shared" si="55"/>
        <v>0.67721145297458685</v>
      </c>
      <c r="R276">
        <f t="shared" si="56"/>
        <v>8.5570961532495261E-3</v>
      </c>
      <c r="S276" s="15">
        <f t="shared" si="57"/>
        <v>8.0782359847856491E-2</v>
      </c>
    </row>
    <row r="277" spans="1:19" x14ac:dyDescent="0.3">
      <c r="A277" s="2">
        <v>43070</v>
      </c>
      <c r="B277">
        <v>2017</v>
      </c>
      <c r="C277">
        <v>12</v>
      </c>
      <c r="D277" s="5" t="s">
        <v>9</v>
      </c>
      <c r="E277" t="s">
        <v>17</v>
      </c>
      <c r="F277" t="s">
        <v>18</v>
      </c>
      <c r="G277" t="s">
        <v>19</v>
      </c>
      <c r="H277" t="s">
        <v>22</v>
      </c>
      <c r="I277">
        <v>15.875</v>
      </c>
      <c r="J277" s="8">
        <f t="shared" si="59"/>
        <v>9.4577553593950625E-4</v>
      </c>
      <c r="K277" s="8">
        <f t="shared" si="60"/>
        <v>-0.28808466747387762</v>
      </c>
      <c r="L277">
        <f t="shared" si="58"/>
        <v>6.9877553593950632E-4</v>
      </c>
      <c r="M277">
        <f t="shared" si="54"/>
        <v>6.4403499470966949E-2</v>
      </c>
      <c r="N277" s="15">
        <v>2.4699999999999999E-4</v>
      </c>
      <c r="O277" s="8">
        <f>(I277 - MAX(I242:I277)) / MAX(I242:I277)</f>
        <v>-0.45034969877432313</v>
      </c>
      <c r="P277" s="15">
        <v>-1.8499999999999999E-2</v>
      </c>
      <c r="Q277">
        <f t="shared" si="55"/>
        <v>-0.1413315963768049</v>
      </c>
      <c r="R277">
        <f t="shared" si="56"/>
        <v>5.0776066763192646E-3</v>
      </c>
      <c r="S277" s="15">
        <f t="shared" si="57"/>
        <v>6.7093172283224839E-2</v>
      </c>
    </row>
    <row r="278" spans="1:19" x14ac:dyDescent="0.3">
      <c r="A278" s="2">
        <v>43101</v>
      </c>
      <c r="B278">
        <v>2018</v>
      </c>
      <c r="C278">
        <v>1</v>
      </c>
      <c r="D278" s="5" t="s">
        <v>9</v>
      </c>
      <c r="E278" t="s">
        <v>17</v>
      </c>
      <c r="F278" t="s">
        <v>18</v>
      </c>
      <c r="G278" t="s">
        <v>19</v>
      </c>
      <c r="H278" t="s">
        <v>22</v>
      </c>
      <c r="I278">
        <v>14.794</v>
      </c>
      <c r="J278" s="8">
        <f t="shared" si="59"/>
        <v>-6.8094488188976343E-2</v>
      </c>
      <c r="K278" s="8">
        <f t="shared" si="60"/>
        <v>-0.33656217767612884</v>
      </c>
      <c r="L278">
        <f t="shared" si="58"/>
        <v>-6.848948818897635E-2</v>
      </c>
      <c r="M278">
        <f t="shared" si="54"/>
        <v>-0.10244588431514862</v>
      </c>
      <c r="N278" s="15">
        <v>3.9500000000000001E-4</v>
      </c>
      <c r="O278" s="8">
        <f>(I278 - MAX(I242:I278)) / MAX(I242:I278)</f>
        <v>-0.48777785471920226</v>
      </c>
      <c r="P278" s="15">
        <v>3.0099999999999998E-2</v>
      </c>
      <c r="Q278">
        <f t="shared" si="55"/>
        <v>-0.11837688392844295</v>
      </c>
      <c r="R278">
        <f t="shared" si="56"/>
        <v>-5.7653588308666974E-3</v>
      </c>
      <c r="S278" s="15">
        <f t="shared" si="57"/>
        <v>6.7095737247796799E-2</v>
      </c>
    </row>
    <row r="279" spans="1:19" x14ac:dyDescent="0.3">
      <c r="A279" s="2">
        <v>43132</v>
      </c>
      <c r="B279">
        <v>2018</v>
      </c>
      <c r="C279">
        <v>2</v>
      </c>
      <c r="D279" s="5" t="s">
        <v>9</v>
      </c>
      <c r="E279" t="s">
        <v>17</v>
      </c>
      <c r="F279" t="s">
        <v>18</v>
      </c>
      <c r="G279" t="s">
        <v>19</v>
      </c>
      <c r="H279" t="s">
        <v>22</v>
      </c>
      <c r="I279">
        <v>13.2</v>
      </c>
      <c r="J279" s="8">
        <f t="shared" si="59"/>
        <v>-0.1077463836690551</v>
      </c>
      <c r="K279" s="8">
        <f t="shared" si="60"/>
        <v>-0.40804520382079901</v>
      </c>
      <c r="L279">
        <f t="shared" si="58"/>
        <v>-0.1082953836690551</v>
      </c>
      <c r="M279">
        <f t="shared" si="54"/>
        <v>-0.23136027017167868</v>
      </c>
      <c r="N279" s="15">
        <v>5.4900000000000001E-4</v>
      </c>
      <c r="O279" s="8">
        <f>(I279 - MAX(I242:I279)) / MAX(I242:I279)</f>
        <v>-0.54296793850841363</v>
      </c>
      <c r="P279" s="15">
        <v>-4.7199999999999999E-2</v>
      </c>
      <c r="Q279">
        <f t="shared" si="55"/>
        <v>0.32455254750167373</v>
      </c>
      <c r="R279">
        <f t="shared" si="56"/>
        <v>-1.7844213020718508E-2</v>
      </c>
      <c r="S279" s="15">
        <f t="shared" si="57"/>
        <v>7.2764907637717438E-2</v>
      </c>
    </row>
    <row r="280" spans="1:19" x14ac:dyDescent="0.3">
      <c r="A280" s="2">
        <v>43160</v>
      </c>
      <c r="B280">
        <v>2018</v>
      </c>
      <c r="C280">
        <v>3</v>
      </c>
      <c r="D280" s="5" t="s">
        <v>9</v>
      </c>
      <c r="E280" t="s">
        <v>17</v>
      </c>
      <c r="F280" t="s">
        <v>18</v>
      </c>
      <c r="G280" t="s">
        <v>19</v>
      </c>
      <c r="H280" t="s">
        <v>22</v>
      </c>
      <c r="I280">
        <v>11.326000000000001</v>
      </c>
      <c r="J280" s="8">
        <f t="shared" si="59"/>
        <v>-0.14196969696969688</v>
      </c>
      <c r="K280" s="8">
        <f t="shared" si="60"/>
        <v>-0.4920848468541188</v>
      </c>
      <c r="L280">
        <f t="shared" si="58"/>
        <v>-0.14241069696969688</v>
      </c>
      <c r="M280">
        <f t="shared" si="54"/>
        <v>-0.32476711302119898</v>
      </c>
      <c r="N280" s="15">
        <v>4.4099999999999999E-4</v>
      </c>
      <c r="O280" s="8">
        <f>(I280 - MAX(I242:I280)) / MAX(I242:I280)</f>
        <v>-0.60785264178380993</v>
      </c>
      <c r="P280" s="15">
        <v>-2.2499999999999999E-2</v>
      </c>
      <c r="Q280">
        <f t="shared" si="55"/>
        <v>0.7627360590747726</v>
      </c>
      <c r="R280">
        <f t="shared" si="56"/>
        <v>-2.387618533944879E-2</v>
      </c>
      <c r="S280" s="15">
        <f t="shared" si="57"/>
        <v>8.133329761844045E-2</v>
      </c>
    </row>
    <row r="281" spans="1:19" x14ac:dyDescent="0.3">
      <c r="A281" s="2">
        <v>43191</v>
      </c>
      <c r="B281">
        <v>2018</v>
      </c>
      <c r="C281">
        <v>4</v>
      </c>
      <c r="D281" s="5" t="s">
        <v>9</v>
      </c>
      <c r="E281" t="s">
        <v>17</v>
      </c>
      <c r="F281" t="s">
        <v>18</v>
      </c>
      <c r="G281" t="s">
        <v>19</v>
      </c>
      <c r="H281" t="s">
        <v>22</v>
      </c>
      <c r="I281">
        <v>11.366</v>
      </c>
      <c r="J281" s="8">
        <f t="shared" si="59"/>
        <v>3.5316969803990063E-3</v>
      </c>
      <c r="K281" s="8">
        <f t="shared" si="60"/>
        <v>-0.49029104444145466</v>
      </c>
      <c r="L281">
        <f t="shared" si="58"/>
        <v>3.1316969803990061E-3</v>
      </c>
      <c r="M281">
        <f t="shared" si="54"/>
        <v>-0.34938037773945363</v>
      </c>
      <c r="N281" s="15">
        <v>4.0000000000000002E-4</v>
      </c>
      <c r="O281" s="8">
        <f>(I281 - MAX(I242:I281)) / MAX(I242:I281)</f>
        <v>-0.60646769614292639</v>
      </c>
      <c r="P281" s="15">
        <v>5.21E-2</v>
      </c>
      <c r="Q281">
        <f t="shared" si="55"/>
        <v>0.65422286921183037</v>
      </c>
      <c r="R281">
        <f t="shared" si="56"/>
        <v>-2.7834380675282835E-2</v>
      </c>
      <c r="S281" s="15">
        <f t="shared" si="57"/>
        <v>8.0423873087919276E-2</v>
      </c>
    </row>
    <row r="282" spans="1:19" x14ac:dyDescent="0.3">
      <c r="A282" s="2">
        <v>43221</v>
      </c>
      <c r="B282">
        <v>2018</v>
      </c>
      <c r="C282">
        <v>5</v>
      </c>
      <c r="D282" s="5" t="s">
        <v>9</v>
      </c>
      <c r="E282" t="s">
        <v>17</v>
      </c>
      <c r="F282" t="s">
        <v>18</v>
      </c>
      <c r="G282" t="s">
        <v>19</v>
      </c>
      <c r="H282" t="s">
        <v>22</v>
      </c>
      <c r="I282">
        <v>9.157</v>
      </c>
      <c r="J282" s="8">
        <f t="shared" si="59"/>
        <v>-0.19435157487242652</v>
      </c>
      <c r="K282" s="8">
        <f t="shared" si="60"/>
        <v>-0.5893537826808376</v>
      </c>
      <c r="L282">
        <f t="shared" si="58"/>
        <v>-0.19472657487242651</v>
      </c>
      <c r="M282">
        <f t="shared" si="54"/>
        <v>-0.42171655399039432</v>
      </c>
      <c r="N282" s="15">
        <v>3.7500000000000001E-4</v>
      </c>
      <c r="O282" s="8">
        <f>(I282 - MAX(I242:I282)) / MAX(I242:I282)</f>
        <v>-0.68295131916072294</v>
      </c>
      <c r="P282" s="15">
        <v>-3.6700000000000003E-2</v>
      </c>
      <c r="Q282">
        <f t="shared" si="55"/>
        <v>1.0403640677291524</v>
      </c>
      <c r="R282">
        <f t="shared" si="56"/>
        <v>-3.5999238165428056E-2</v>
      </c>
      <c r="S282" s="15">
        <f t="shared" si="57"/>
        <v>9.3636176476595973E-2</v>
      </c>
    </row>
    <row r="283" spans="1:19" x14ac:dyDescent="0.3">
      <c r="A283" s="2">
        <v>43252</v>
      </c>
      <c r="B283">
        <v>2018</v>
      </c>
      <c r="C283">
        <v>6</v>
      </c>
      <c r="D283" s="5" t="s">
        <v>9</v>
      </c>
      <c r="E283" t="s">
        <v>17</v>
      </c>
      <c r="F283" t="s">
        <v>18</v>
      </c>
      <c r="G283" t="s">
        <v>19</v>
      </c>
      <c r="H283" t="s">
        <v>22</v>
      </c>
      <c r="I283">
        <v>9.2219999999999995</v>
      </c>
      <c r="J283" s="8">
        <f t="shared" si="59"/>
        <v>7.0983946707436386E-3</v>
      </c>
      <c r="K283" s="8">
        <f t="shared" si="60"/>
        <v>-0.58643885376025828</v>
      </c>
      <c r="L283">
        <f t="shared" si="58"/>
        <v>6.8253946707436388E-3</v>
      </c>
      <c r="M283">
        <f t="shared" si="54"/>
        <v>-0.41081767298147787</v>
      </c>
      <c r="N283" s="15">
        <v>2.7300000000000002E-4</v>
      </c>
      <c r="O283" s="8">
        <f>(I283 - MAX(I242:I283)) / MAX(I242:I283)</f>
        <v>-0.68070078249428723</v>
      </c>
      <c r="P283" s="15">
        <v>-3.2000000000000002E-3</v>
      </c>
      <c r="Q283">
        <f t="shared" si="55"/>
        <v>1.2052021649189384</v>
      </c>
      <c r="R283">
        <f t="shared" si="56"/>
        <v>-3.7448686180993063E-2</v>
      </c>
      <c r="S283" s="15">
        <f t="shared" si="57"/>
        <v>9.4042213658515575E-2</v>
      </c>
    </row>
    <row r="284" spans="1:19" x14ac:dyDescent="0.3">
      <c r="A284" s="2">
        <v>43282</v>
      </c>
      <c r="B284">
        <v>2018</v>
      </c>
      <c r="C284">
        <v>7</v>
      </c>
      <c r="D284" s="5" t="s">
        <v>9</v>
      </c>
      <c r="E284" t="s">
        <v>17</v>
      </c>
      <c r="F284" t="s">
        <v>18</v>
      </c>
      <c r="G284" t="s">
        <v>19</v>
      </c>
      <c r="H284" t="s">
        <v>22</v>
      </c>
      <c r="I284">
        <v>11.188000000000001</v>
      </c>
      <c r="J284" s="8">
        <f t="shared" si="59"/>
        <v>0.21318585990023869</v>
      </c>
      <c r="K284" s="8">
        <f t="shared" si="60"/>
        <v>-0.49827346517781057</v>
      </c>
      <c r="L284">
        <f t="shared" si="58"/>
        <v>0.21295685990023869</v>
      </c>
      <c r="M284">
        <f t="shared" si="54"/>
        <v>-0.15574242412803208</v>
      </c>
      <c r="N284" s="15">
        <v>2.2900000000000001E-4</v>
      </c>
      <c r="O284" s="8">
        <f>(I284 - MAX(I242:I284)) / MAX(I242:I284)</f>
        <v>-0.61263070424485844</v>
      </c>
      <c r="P284" s="15">
        <v>3.8300000000000001E-2</v>
      </c>
      <c r="Q284">
        <f t="shared" si="55"/>
        <v>1.7673560709423384</v>
      </c>
      <c r="R284">
        <f t="shared" si="56"/>
        <v>-2.2121734235100915E-2</v>
      </c>
      <c r="S284" s="15">
        <f t="shared" si="57"/>
        <v>0.11892191985112428</v>
      </c>
    </row>
    <row r="285" spans="1:19" x14ac:dyDescent="0.3">
      <c r="A285" s="2">
        <v>43313</v>
      </c>
      <c r="B285">
        <v>2018</v>
      </c>
      <c r="C285">
        <v>8</v>
      </c>
      <c r="D285" s="5" t="s">
        <v>9</v>
      </c>
      <c r="E285" t="s">
        <v>17</v>
      </c>
      <c r="F285" t="s">
        <v>18</v>
      </c>
      <c r="G285" t="s">
        <v>19</v>
      </c>
      <c r="H285" t="s">
        <v>22</v>
      </c>
      <c r="I285">
        <v>9.702</v>
      </c>
      <c r="J285" s="8">
        <f t="shared" si="59"/>
        <v>-0.13282087951376481</v>
      </c>
      <c r="K285" s="8">
        <f t="shared" si="60"/>
        <v>-0.56491322480828732</v>
      </c>
      <c r="L285">
        <f t="shared" si="58"/>
        <v>-0.1330628795137648</v>
      </c>
      <c r="M285">
        <f t="shared" ref="M285:M316" si="61">(AVERAGE(J274:J285)-AVERAGE(N274:N285))/STDEV(J274:J285)</f>
        <v>-0.17075865989453462</v>
      </c>
      <c r="N285" s="15">
        <v>2.42E-4</v>
      </c>
      <c r="O285" s="8">
        <f>(I285 - MAX(I242:I285)) / MAX(I242:I285)</f>
        <v>-0.66408143480368387</v>
      </c>
      <c r="P285" s="15">
        <v>-3.7599999999999988E-2</v>
      </c>
      <c r="Q285">
        <f t="shared" ref="Q285:Q316" si="62" xml:space="preserve"> _xlfn.COVARIANCE.P(J274:J285, P274:P285) / _xlfn.VAR.P(P274:P285)</f>
        <v>1.8421546575743266</v>
      </c>
      <c r="R285">
        <f t="shared" ref="R285:R316" si="63">AVERAGE(J274:J285)-(AVERAGE(N274:N285)+Q285*(AVERAGE(P274:P285)-AVERAGE(N274:N285)))</f>
        <v>-1.9870800273920051E-2</v>
      </c>
      <c r="S285" s="15">
        <f t="shared" ref="S285:S316" si="64">STDEV(J274:J285)</f>
        <v>0.12086906349312203</v>
      </c>
    </row>
    <row r="286" spans="1:19" x14ac:dyDescent="0.3">
      <c r="A286" s="2">
        <v>43344</v>
      </c>
      <c r="B286">
        <v>2018</v>
      </c>
      <c r="C286">
        <v>9</v>
      </c>
      <c r="D286" s="5" t="s">
        <v>9</v>
      </c>
      <c r="E286" t="s">
        <v>17</v>
      </c>
      <c r="F286" t="s">
        <v>18</v>
      </c>
      <c r="G286" t="s">
        <v>19</v>
      </c>
      <c r="H286" t="s">
        <v>22</v>
      </c>
      <c r="I286">
        <v>9.8279999999999994</v>
      </c>
      <c r="J286" s="8">
        <f t="shared" si="59"/>
        <v>1.2987012987012931E-2</v>
      </c>
      <c r="K286" s="8">
        <f t="shared" si="60"/>
        <v>-0.55926274720839497</v>
      </c>
      <c r="L286">
        <f t="shared" si="58"/>
        <v>1.267801298701293E-2</v>
      </c>
      <c r="M286">
        <f t="shared" si="61"/>
        <v>-0.22891722909978787</v>
      </c>
      <c r="N286" s="15">
        <v>3.0899999999999998E-4</v>
      </c>
      <c r="O286" s="8">
        <f>(I286 - MAX(I242:I286)) / MAX(I242:I286)</f>
        <v>-0.65971885603490066</v>
      </c>
      <c r="P286" s="15">
        <v>1.9E-3</v>
      </c>
      <c r="Q286">
        <f t="shared" si="62"/>
        <v>1.7971983690382196</v>
      </c>
      <c r="R286">
        <f t="shared" si="63"/>
        <v>-1.8673813313239297E-2</v>
      </c>
      <c r="S286" s="15">
        <f t="shared" si="64"/>
        <v>0.1167902323002378</v>
      </c>
    </row>
    <row r="287" spans="1:19" x14ac:dyDescent="0.3">
      <c r="A287" s="2">
        <v>43374</v>
      </c>
      <c r="B287">
        <v>2018</v>
      </c>
      <c r="C287">
        <v>10</v>
      </c>
      <c r="D287" s="5" t="s">
        <v>9</v>
      </c>
      <c r="E287" t="s">
        <v>17</v>
      </c>
      <c r="F287" t="s">
        <v>18</v>
      </c>
      <c r="G287" t="s">
        <v>19</v>
      </c>
      <c r="H287" t="s">
        <v>22</v>
      </c>
      <c r="I287">
        <v>8.6509999999999998</v>
      </c>
      <c r="J287" s="8">
        <f t="shared" si="59"/>
        <v>-0.11975986975986973</v>
      </c>
      <c r="K287" s="8">
        <f t="shared" si="60"/>
        <v>-0.6120453832010404</v>
      </c>
      <c r="L287">
        <f t="shared" si="58"/>
        <v>-0.12009286975986973</v>
      </c>
      <c r="M287">
        <f t="shared" si="61"/>
        <v>-0.27412772179594758</v>
      </c>
      <c r="N287" s="15">
        <v>3.3300000000000002E-4</v>
      </c>
      <c r="O287" s="8">
        <f>(I287 - MAX(I242:I287)) / MAX(I242:I287)</f>
        <v>-0.70047088151790049</v>
      </c>
      <c r="P287" s="15">
        <v>-5.9299999999999999E-2</v>
      </c>
      <c r="Q287">
        <f t="shared" si="62"/>
        <v>1.9075257244516131</v>
      </c>
      <c r="R287">
        <f t="shared" si="63"/>
        <v>-1.1884943617208009E-2</v>
      </c>
      <c r="S287" s="15">
        <f t="shared" si="64"/>
        <v>0.11981233528460174</v>
      </c>
    </row>
    <row r="288" spans="1:19" x14ac:dyDescent="0.3">
      <c r="A288" s="2">
        <v>43405</v>
      </c>
      <c r="B288">
        <v>2018</v>
      </c>
      <c r="C288">
        <v>11</v>
      </c>
      <c r="D288" s="5" t="s">
        <v>9</v>
      </c>
      <c r="E288" t="s">
        <v>17</v>
      </c>
      <c r="F288" t="s">
        <v>18</v>
      </c>
      <c r="G288" t="s">
        <v>19</v>
      </c>
      <c r="H288" t="s">
        <v>22</v>
      </c>
      <c r="I288">
        <v>8.0630000000000006</v>
      </c>
      <c r="J288" s="8">
        <f t="shared" si="59"/>
        <v>-6.7969020922436618E-2</v>
      </c>
      <c r="K288" s="8">
        <f t="shared" si="60"/>
        <v>-0.63841427866720479</v>
      </c>
      <c r="L288">
        <f t="shared" si="58"/>
        <v>-6.8231020922436617E-2</v>
      </c>
      <c r="M288">
        <f t="shared" si="61"/>
        <v>-0.46464563648497742</v>
      </c>
      <c r="N288" s="15">
        <v>2.6200000000000003E-4</v>
      </c>
      <c r="O288" s="8">
        <f>(I288 - MAX(I242:I288)) / MAX(I242:I288)</f>
        <v>-0.72082958243888928</v>
      </c>
      <c r="P288" s="15">
        <v>-7.6E-3</v>
      </c>
      <c r="Q288">
        <f t="shared" si="62"/>
        <v>2.136613843794966</v>
      </c>
      <c r="R288">
        <f t="shared" si="63"/>
        <v>-2.9574946591591524E-2</v>
      </c>
      <c r="S288" s="15">
        <f t="shared" si="64"/>
        <v>0.10743279874412048</v>
      </c>
    </row>
    <row r="289" spans="1:19" x14ac:dyDescent="0.3">
      <c r="A289" s="2">
        <v>43435</v>
      </c>
      <c r="B289">
        <v>2018</v>
      </c>
      <c r="C289">
        <v>12</v>
      </c>
      <c r="D289" s="5" t="s">
        <v>9</v>
      </c>
      <c r="E289" t="s">
        <v>17</v>
      </c>
      <c r="F289" t="s">
        <v>18</v>
      </c>
      <c r="G289" t="s">
        <v>19</v>
      </c>
      <c r="H289" t="s">
        <v>22</v>
      </c>
      <c r="I289">
        <v>6.9669999999999996</v>
      </c>
      <c r="J289" s="8">
        <f t="shared" si="59"/>
        <v>-0.13592955475629429</v>
      </c>
      <c r="K289" s="8">
        <f t="shared" si="60"/>
        <v>-0.68756446477420519</v>
      </c>
      <c r="L289">
        <f t="shared" si="58"/>
        <v>-0.13608555475629427</v>
      </c>
      <c r="M289">
        <f t="shared" si="61"/>
        <v>-0.5633793191897345</v>
      </c>
      <c r="N289" s="15">
        <v>1.56E-4</v>
      </c>
      <c r="O289" s="8">
        <f>(I289 - MAX(I242:I289)) / MAX(I242:I289)</f>
        <v>-0.75877709299909979</v>
      </c>
      <c r="P289" s="15">
        <v>-5.8799999999999998E-2</v>
      </c>
      <c r="Q289">
        <f t="shared" si="62"/>
        <v>2.1054900905914984</v>
      </c>
      <c r="R289">
        <f t="shared" si="63"/>
        <v>-3.4215006896750055E-2</v>
      </c>
      <c r="S289" s="15">
        <f t="shared" si="64"/>
        <v>0.10883763967593132</v>
      </c>
    </row>
    <row r="290" spans="1:19" x14ac:dyDescent="0.3">
      <c r="A290" s="2">
        <v>43466</v>
      </c>
      <c r="B290">
        <v>2019</v>
      </c>
      <c r="C290">
        <v>1</v>
      </c>
      <c r="D290" s="5" t="s">
        <v>9</v>
      </c>
      <c r="E290" t="s">
        <v>17</v>
      </c>
      <c r="F290" t="s">
        <v>18</v>
      </c>
      <c r="G290" t="s">
        <v>19</v>
      </c>
      <c r="H290" t="s">
        <v>22</v>
      </c>
      <c r="I290">
        <v>7.7460000000000004</v>
      </c>
      <c r="J290" s="8">
        <f t="shared" si="59"/>
        <v>0.11181283192191774</v>
      </c>
      <c r="K290" s="8">
        <f t="shared" si="60"/>
        <v>-0.65263016278756902</v>
      </c>
      <c r="L290">
        <f t="shared" si="58"/>
        <v>0.11170183192191774</v>
      </c>
      <c r="M290">
        <f t="shared" si="61"/>
        <v>-0.38704782593582837</v>
      </c>
      <c r="N290" s="15">
        <v>1.11E-4</v>
      </c>
      <c r="O290" s="8">
        <f>(I290 - MAX(I242:I290)) / MAX(I242:I290)</f>
        <v>-0.73180527664289186</v>
      </c>
      <c r="P290" s="15">
        <v>5.79E-2</v>
      </c>
      <c r="Q290">
        <f t="shared" si="62"/>
        <v>2.4017336878299256</v>
      </c>
      <c r="R290">
        <f t="shared" si="63"/>
        <v>-2.1006673377940512E-2</v>
      </c>
      <c r="S290" s="15">
        <f t="shared" si="64"/>
        <v>0.1196258676516786</v>
      </c>
    </row>
    <row r="291" spans="1:19" x14ac:dyDescent="0.3">
      <c r="A291" s="2">
        <v>43497</v>
      </c>
      <c r="B291">
        <v>2019</v>
      </c>
      <c r="C291">
        <v>2</v>
      </c>
      <c r="D291" s="5" t="s">
        <v>9</v>
      </c>
      <c r="E291" t="s">
        <v>17</v>
      </c>
      <c r="F291" t="s">
        <v>18</v>
      </c>
      <c r="G291" t="s">
        <v>19</v>
      </c>
      <c r="H291" t="s">
        <v>22</v>
      </c>
      <c r="I291">
        <v>8.1609999999999996</v>
      </c>
      <c r="J291" s="8">
        <f t="shared" si="59"/>
        <v>5.3576039246062371E-2</v>
      </c>
      <c r="K291" s="8">
        <f t="shared" si="60"/>
        <v>-0.63401946275617749</v>
      </c>
      <c r="L291">
        <f t="shared" si="58"/>
        <v>5.3530039246062373E-2</v>
      </c>
      <c r="M291">
        <f t="shared" si="61"/>
        <v>-0.27095426565016534</v>
      </c>
      <c r="N291" s="15">
        <v>4.6E-5</v>
      </c>
      <c r="O291" s="8">
        <f>(I291 - MAX(I242:I291)) / MAX(I242:I291)</f>
        <v>-0.71743646561872454</v>
      </c>
      <c r="P291" s="15">
        <v>4.3899999999999988E-2</v>
      </c>
      <c r="Q291">
        <f t="shared" si="62"/>
        <v>2.3910638062132614</v>
      </c>
      <c r="R291">
        <f t="shared" si="63"/>
        <v>-2.5885977924952994E-2</v>
      </c>
      <c r="S291" s="15">
        <f t="shared" si="64"/>
        <v>0.12111077126589678</v>
      </c>
    </row>
    <row r="292" spans="1:19" x14ac:dyDescent="0.3">
      <c r="A292" s="2">
        <v>43525</v>
      </c>
      <c r="B292">
        <v>2019</v>
      </c>
      <c r="C292">
        <v>3</v>
      </c>
      <c r="D292" s="5" t="s">
        <v>9</v>
      </c>
      <c r="E292" t="s">
        <v>17</v>
      </c>
      <c r="F292" t="s">
        <v>18</v>
      </c>
      <c r="G292" t="s">
        <v>19</v>
      </c>
      <c r="H292" t="s">
        <v>22</v>
      </c>
      <c r="I292">
        <v>7.26</v>
      </c>
      <c r="J292" s="8">
        <f t="shared" si="59"/>
        <v>-0.11040313687048153</v>
      </c>
      <c r="K292" s="8">
        <f t="shared" si="60"/>
        <v>-0.67442486210143959</v>
      </c>
      <c r="L292">
        <f t="shared" si="58"/>
        <v>-0.11041213687048153</v>
      </c>
      <c r="M292">
        <f t="shared" si="61"/>
        <v>-0.25369425283071378</v>
      </c>
      <c r="N292" s="15">
        <v>9.0000000000000002E-6</v>
      </c>
      <c r="O292" s="8">
        <f>(I292 - MAX(I242:I292)) / MAX(I242:I292)</f>
        <v>-0.74863236617962736</v>
      </c>
      <c r="P292" s="15">
        <v>1.6199999999999999E-2</v>
      </c>
      <c r="Q292">
        <f t="shared" si="62"/>
        <v>2.2196061149923705</v>
      </c>
      <c r="R292">
        <f t="shared" si="63"/>
        <v>-3.0954465468307577E-2</v>
      </c>
      <c r="S292" s="15">
        <f t="shared" si="64"/>
        <v>0.11883963897226915</v>
      </c>
    </row>
    <row r="293" spans="1:19" x14ac:dyDescent="0.3">
      <c r="A293" s="2">
        <v>43556</v>
      </c>
      <c r="B293">
        <v>2019</v>
      </c>
      <c r="C293">
        <v>4</v>
      </c>
      <c r="D293" s="5" t="s">
        <v>9</v>
      </c>
      <c r="E293" t="s">
        <v>17</v>
      </c>
      <c r="F293" t="s">
        <v>18</v>
      </c>
      <c r="G293" t="s">
        <v>19</v>
      </c>
      <c r="H293" t="s">
        <v>22</v>
      </c>
      <c r="I293">
        <v>7.3689999999999998</v>
      </c>
      <c r="J293" s="8">
        <f t="shared" si="59"/>
        <v>1.5013774104683193E-2</v>
      </c>
      <c r="K293" s="8">
        <f t="shared" si="60"/>
        <v>-0.66953675052692951</v>
      </c>
      <c r="L293">
        <f t="shared" si="58"/>
        <v>1.5046774104683193E-2</v>
      </c>
      <c r="M293">
        <f t="shared" si="61"/>
        <v>-0.24464008731120301</v>
      </c>
      <c r="N293" s="15">
        <v>-3.3000000000000003E-5</v>
      </c>
      <c r="O293" s="8">
        <f>(I293 - MAX(I242:I293)) / MAX(I242:I293)</f>
        <v>-0.74485838930821968</v>
      </c>
      <c r="P293" s="15">
        <v>4.8599999999999997E-2</v>
      </c>
      <c r="Q293">
        <f t="shared" si="62"/>
        <v>2.2828557308247994</v>
      </c>
      <c r="R293">
        <f t="shared" si="63"/>
        <v>-2.9401036837159781E-2</v>
      </c>
      <c r="S293" s="15">
        <f t="shared" si="64"/>
        <v>0.11917920175102915</v>
      </c>
    </row>
    <row r="294" spans="1:19" x14ac:dyDescent="0.3">
      <c r="A294" s="2">
        <v>43586</v>
      </c>
      <c r="B294">
        <v>2019</v>
      </c>
      <c r="C294">
        <v>5</v>
      </c>
      <c r="D294" s="5" t="s">
        <v>9</v>
      </c>
      <c r="E294" t="s">
        <v>17</v>
      </c>
      <c r="F294" t="s">
        <v>18</v>
      </c>
      <c r="G294" t="s">
        <v>19</v>
      </c>
      <c r="H294" t="s">
        <v>22</v>
      </c>
      <c r="I294">
        <v>6.0869999999999997</v>
      </c>
      <c r="J294" s="8">
        <f t="shared" si="59"/>
        <v>-0.17397204505360295</v>
      </c>
      <c r="K294" s="8">
        <f t="shared" si="60"/>
        <v>-0.72702811785281862</v>
      </c>
      <c r="L294">
        <f t="shared" si="58"/>
        <v>-0.17386004505360295</v>
      </c>
      <c r="M294">
        <f t="shared" si="61"/>
        <v>-0.2348801524249175</v>
      </c>
      <c r="N294" s="15">
        <v>-1.12E-4</v>
      </c>
      <c r="O294" s="8">
        <f>(I294 - MAX(I242:I294)) / MAX(I242:I294)</f>
        <v>-0.78924589709853887</v>
      </c>
      <c r="P294" s="15">
        <v>-6.6600000000000006E-2</v>
      </c>
      <c r="Q294">
        <f t="shared" si="62"/>
        <v>2.1347400926599041</v>
      </c>
      <c r="R294">
        <f t="shared" si="63"/>
        <v>-2.2413835744977628E-2</v>
      </c>
      <c r="S294" s="15">
        <f t="shared" si="64"/>
        <v>0.11672818053842809</v>
      </c>
    </row>
    <row r="295" spans="1:19" x14ac:dyDescent="0.3">
      <c r="A295" s="2">
        <v>43617</v>
      </c>
      <c r="B295">
        <v>2019</v>
      </c>
      <c r="C295">
        <v>6</v>
      </c>
      <c r="D295" s="5" t="s">
        <v>9</v>
      </c>
      <c r="E295" t="s">
        <v>17</v>
      </c>
      <c r="F295" t="s">
        <v>18</v>
      </c>
      <c r="G295" t="s">
        <v>19</v>
      </c>
      <c r="H295" t="s">
        <v>22</v>
      </c>
      <c r="I295">
        <v>6.78</v>
      </c>
      <c r="J295" s="8">
        <f t="shared" si="59"/>
        <v>0.113849186791523</v>
      </c>
      <c r="K295" s="8">
        <f t="shared" si="60"/>
        <v>-0.69595049105341056</v>
      </c>
      <c r="L295">
        <f t="shared" si="58"/>
        <v>0.114112186791523</v>
      </c>
      <c r="M295">
        <f t="shared" si="61"/>
        <v>-0.14965772886658735</v>
      </c>
      <c r="N295" s="15">
        <v>-2.63E-4</v>
      </c>
      <c r="O295" s="8">
        <f>(I295 - MAX(I242:I295)) / MAX(I242:I295)</f>
        <v>-0.76525171387023061</v>
      </c>
      <c r="P295" s="15">
        <v>5.8899999999999987E-2</v>
      </c>
      <c r="Q295">
        <f t="shared" si="62"/>
        <v>2.1669076155514024</v>
      </c>
      <c r="R295">
        <f t="shared" si="63"/>
        <v>-2.4708412553775531E-2</v>
      </c>
      <c r="S295" s="15">
        <f t="shared" si="64"/>
        <v>0.12345882145221712</v>
      </c>
    </row>
    <row r="296" spans="1:19" x14ac:dyDescent="0.3">
      <c r="A296" s="2">
        <v>43647</v>
      </c>
      <c r="B296">
        <v>2019</v>
      </c>
      <c r="C296">
        <v>7</v>
      </c>
      <c r="D296" s="5" t="s">
        <v>9</v>
      </c>
      <c r="E296" t="s">
        <v>17</v>
      </c>
      <c r="F296" t="s">
        <v>18</v>
      </c>
      <c r="G296" t="s">
        <v>19</v>
      </c>
      <c r="H296" t="s">
        <v>22</v>
      </c>
      <c r="I296">
        <v>7.04</v>
      </c>
      <c r="J296" s="8">
        <f t="shared" si="59"/>
        <v>3.8348082595870171E-2</v>
      </c>
      <c r="K296" s="8">
        <f t="shared" si="60"/>
        <v>-0.68429077537109295</v>
      </c>
      <c r="L296">
        <f t="shared" si="58"/>
        <v>3.8672082595870169E-2</v>
      </c>
      <c r="M296">
        <f t="shared" si="61"/>
        <v>-0.32315044433844664</v>
      </c>
      <c r="N296" s="15">
        <v>-3.2400000000000001E-4</v>
      </c>
      <c r="O296" s="8">
        <f>(I296 - MAX(I242:I296)) / MAX(I242:I296)</f>
        <v>-0.75624956720448722</v>
      </c>
      <c r="P296" s="15">
        <v>-2E-3</v>
      </c>
      <c r="Q296">
        <f t="shared" si="62"/>
        <v>1.9152446542923474</v>
      </c>
      <c r="R296">
        <f t="shared" si="63"/>
        <v>-3.2164613184958821E-2</v>
      </c>
      <c r="S296" s="15">
        <f t="shared" si="64"/>
        <v>0.10212054121315919</v>
      </c>
    </row>
    <row r="297" spans="1:19" x14ac:dyDescent="0.3">
      <c r="A297" s="2">
        <v>43678</v>
      </c>
      <c r="B297">
        <v>2019</v>
      </c>
      <c r="C297">
        <v>8</v>
      </c>
      <c r="D297" s="5" t="s">
        <v>9</v>
      </c>
      <c r="E297" t="s">
        <v>17</v>
      </c>
      <c r="F297" t="s">
        <v>18</v>
      </c>
      <c r="G297" t="s">
        <v>19</v>
      </c>
      <c r="H297" t="s">
        <v>22</v>
      </c>
      <c r="I297">
        <v>6.5720000000000001</v>
      </c>
      <c r="J297" s="8">
        <f t="shared" si="59"/>
        <v>-6.6477272727272718E-2</v>
      </c>
      <c r="K297" s="8">
        <f t="shared" si="60"/>
        <v>-0.7052782635992646</v>
      </c>
      <c r="L297">
        <f t="shared" si="58"/>
        <v>-6.5936272727272718E-2</v>
      </c>
      <c r="M297">
        <f t="shared" si="61"/>
        <v>-0.27985300651617945</v>
      </c>
      <c r="N297" s="15">
        <v>-5.4100000000000003E-4</v>
      </c>
      <c r="O297" s="8">
        <f>(I297 - MAX(I242:I297)) / MAX(I242:I297)</f>
        <v>-0.77245343120282528</v>
      </c>
      <c r="P297" s="15">
        <v>-1.1599999999999999E-2</v>
      </c>
      <c r="Q297">
        <f t="shared" si="62"/>
        <v>1.8731922655078028</v>
      </c>
      <c r="R297">
        <f t="shared" si="63"/>
        <v>-3.0769887182315412E-2</v>
      </c>
      <c r="S297" s="15">
        <f t="shared" si="64"/>
        <v>9.7931463061327592E-2</v>
      </c>
    </row>
    <row r="298" spans="1:19" x14ac:dyDescent="0.3">
      <c r="A298" s="2">
        <v>43709</v>
      </c>
      <c r="B298">
        <v>2019</v>
      </c>
      <c r="C298">
        <v>9</v>
      </c>
      <c r="D298" s="5" t="s">
        <v>9</v>
      </c>
      <c r="E298" t="s">
        <v>17</v>
      </c>
      <c r="F298" t="s">
        <v>18</v>
      </c>
      <c r="G298" t="s">
        <v>19</v>
      </c>
      <c r="H298" t="s">
        <v>22</v>
      </c>
      <c r="I298">
        <v>6.8710000000000004</v>
      </c>
      <c r="J298" s="8">
        <f t="shared" si="59"/>
        <v>4.5496043822276379E-2</v>
      </c>
      <c r="K298" s="8">
        <f t="shared" si="60"/>
        <v>-0.69186959056459929</v>
      </c>
      <c r="L298">
        <f t="shared" si="58"/>
        <v>4.5992043822276382E-2</v>
      </c>
      <c r="M298">
        <f t="shared" si="61"/>
        <v>-0.24732578742795644</v>
      </c>
      <c r="N298" s="15">
        <v>-4.9600000000000002E-4</v>
      </c>
      <c r="O298" s="8">
        <f>(I298 - MAX(I242:I298)) / MAX(I242:I298)</f>
        <v>-0.76210096253722048</v>
      </c>
      <c r="P298" s="15">
        <v>4.1599999999999998E-2</v>
      </c>
      <c r="Q298">
        <f t="shared" si="62"/>
        <v>1.8759773336036654</v>
      </c>
      <c r="R298">
        <f t="shared" si="63"/>
        <v>-3.4330923926033291E-2</v>
      </c>
      <c r="S298" s="15">
        <f t="shared" si="64"/>
        <v>9.9586239631980517E-2</v>
      </c>
    </row>
    <row r="299" spans="1:19" x14ac:dyDescent="0.3">
      <c r="A299" s="2">
        <v>43739</v>
      </c>
      <c r="B299">
        <v>2019</v>
      </c>
      <c r="C299">
        <v>10</v>
      </c>
      <c r="D299" s="5" t="s">
        <v>9</v>
      </c>
      <c r="E299" t="s">
        <v>17</v>
      </c>
      <c r="F299" t="s">
        <v>18</v>
      </c>
      <c r="G299" t="s">
        <v>19</v>
      </c>
      <c r="H299" t="s">
        <v>22</v>
      </c>
      <c r="I299">
        <v>6.4939999999999998</v>
      </c>
      <c r="J299" s="8">
        <f t="shared" si="59"/>
        <v>-5.4868287003347498E-2</v>
      </c>
      <c r="K299" s="8">
        <f t="shared" si="60"/>
        <v>-0.70877617830395989</v>
      </c>
      <c r="L299">
        <f t="shared" si="58"/>
        <v>-5.4477287003347495E-2</v>
      </c>
      <c r="M299">
        <f t="shared" si="61"/>
        <v>-0.20036091234441039</v>
      </c>
      <c r="N299" s="15">
        <v>-3.9100000000000002E-4</v>
      </c>
      <c r="O299" s="8">
        <f>(I299 - MAX(I242:I299)) / MAX(I242:I299)</f>
        <v>-0.77515407520254831</v>
      </c>
      <c r="P299" s="15">
        <v>9.7999999999999997E-3</v>
      </c>
      <c r="Q299">
        <f t="shared" si="62"/>
        <v>1.9689686450056483</v>
      </c>
      <c r="R299">
        <f t="shared" si="63"/>
        <v>-4.0800588989988965E-2</v>
      </c>
      <c r="S299" s="15">
        <f t="shared" si="64"/>
        <v>9.563881337952565E-2</v>
      </c>
    </row>
    <row r="300" spans="1:19" x14ac:dyDescent="0.3">
      <c r="A300" s="2">
        <v>43770</v>
      </c>
      <c r="B300">
        <v>2019</v>
      </c>
      <c r="C300">
        <v>11</v>
      </c>
      <c r="D300" s="5" t="s">
        <v>9</v>
      </c>
      <c r="E300" t="s">
        <v>17</v>
      </c>
      <c r="F300" t="s">
        <v>18</v>
      </c>
      <c r="G300" t="s">
        <v>19</v>
      </c>
      <c r="H300" t="s">
        <v>22</v>
      </c>
      <c r="I300">
        <v>6.5439999999999996</v>
      </c>
      <c r="J300" s="8">
        <f t="shared" si="59"/>
        <v>7.6994148444717928E-3</v>
      </c>
      <c r="K300" s="8">
        <f t="shared" si="60"/>
        <v>-0.70653392528812953</v>
      </c>
      <c r="L300">
        <f t="shared" si="58"/>
        <v>7.9934148444717919E-3</v>
      </c>
      <c r="M300">
        <f t="shared" si="61"/>
        <v>-0.13537631314135146</v>
      </c>
      <c r="N300" s="15">
        <v>-2.9399999999999999E-4</v>
      </c>
      <c r="O300" s="8">
        <f>(I300 - MAX(I242:I300)) / MAX(I242:I300)</f>
        <v>-0.77342289315144375</v>
      </c>
      <c r="P300" s="15">
        <v>2.75E-2</v>
      </c>
      <c r="Q300">
        <f t="shared" si="62"/>
        <v>1.9515701331859898</v>
      </c>
      <c r="R300">
        <f t="shared" si="63"/>
        <v>-4.0056114219759124E-2</v>
      </c>
      <c r="S300" s="15">
        <f t="shared" si="64"/>
        <v>9.4626920272041073E-2</v>
      </c>
    </row>
    <row r="301" spans="1:19" x14ac:dyDescent="0.3">
      <c r="A301" s="2">
        <v>43800</v>
      </c>
      <c r="B301">
        <v>2019</v>
      </c>
      <c r="C301">
        <v>12</v>
      </c>
      <c r="D301" s="5" t="s">
        <v>9</v>
      </c>
      <c r="E301" t="s">
        <v>17</v>
      </c>
      <c r="F301" t="s">
        <v>18</v>
      </c>
      <c r="G301" t="s">
        <v>19</v>
      </c>
      <c r="H301" t="s">
        <v>22</v>
      </c>
      <c r="I301">
        <v>6.9169999999999998</v>
      </c>
      <c r="J301" s="8">
        <f t="shared" si="59"/>
        <v>5.6998777506112507E-2</v>
      </c>
      <c r="K301" s="8">
        <f t="shared" si="60"/>
        <v>-0.68980671779003544</v>
      </c>
      <c r="L301">
        <f t="shared" si="58"/>
        <v>5.7248777506112507E-2</v>
      </c>
      <c r="M301">
        <f t="shared" si="61"/>
        <v>3.7512014176236702E-2</v>
      </c>
      <c r="N301" s="15">
        <v>-2.5000000000000001E-4</v>
      </c>
      <c r="O301" s="8">
        <f>(I301 - MAX(I242:I301)) / MAX(I242:I301)</f>
        <v>-0.76050827505020435</v>
      </c>
      <c r="P301" s="15">
        <v>1.21E-2</v>
      </c>
      <c r="Q301">
        <f t="shared" si="62"/>
        <v>2.0166260552923432</v>
      </c>
      <c r="R301">
        <f t="shared" si="63"/>
        <v>-3.6836293717975012E-2</v>
      </c>
      <c r="S301" s="15">
        <f t="shared" si="64"/>
        <v>8.7997161371892993E-2</v>
      </c>
    </row>
    <row r="302" spans="1:19" x14ac:dyDescent="0.3">
      <c r="A302" s="2">
        <v>43831</v>
      </c>
      <c r="B302">
        <v>2020</v>
      </c>
      <c r="C302">
        <v>1</v>
      </c>
      <c r="D302" s="5" t="s">
        <v>9</v>
      </c>
      <c r="E302" t="s">
        <v>17</v>
      </c>
      <c r="F302" t="s">
        <v>18</v>
      </c>
      <c r="G302" t="s">
        <v>19</v>
      </c>
      <c r="H302" t="s">
        <v>22</v>
      </c>
      <c r="I302">
        <v>8.2840000000000007</v>
      </c>
      <c r="J302" s="8">
        <f t="shared" si="59"/>
        <v>0.19762902992626874</v>
      </c>
      <c r="K302" s="8">
        <f t="shared" si="60"/>
        <v>-0.62850352033723489</v>
      </c>
      <c r="L302">
        <f t="shared" si="58"/>
        <v>0.19789002992626875</v>
      </c>
      <c r="M302">
        <f t="shared" si="61"/>
        <v>0.10455314149065006</v>
      </c>
      <c r="N302" s="15">
        <v>-2.61E-4</v>
      </c>
      <c r="O302" s="8">
        <f>(I302 - MAX(I242:I302)) / MAX(I242:I302)</f>
        <v>-0.71317775777300729</v>
      </c>
      <c r="P302" s="15">
        <v>-2.87E-2</v>
      </c>
      <c r="Q302">
        <f t="shared" si="62"/>
        <v>1.0735823459951208</v>
      </c>
      <c r="R302">
        <f t="shared" si="63"/>
        <v>-3.1699828866459927E-3</v>
      </c>
      <c r="S302" s="15">
        <f t="shared" si="64"/>
        <v>0.10026767679175332</v>
      </c>
    </row>
    <row r="303" spans="1:19" x14ac:dyDescent="0.3">
      <c r="A303" s="2">
        <v>43862</v>
      </c>
      <c r="B303">
        <v>2020</v>
      </c>
      <c r="C303">
        <v>2</v>
      </c>
      <c r="D303" s="5" t="s">
        <v>9</v>
      </c>
      <c r="E303" t="s">
        <v>17</v>
      </c>
      <c r="F303" t="s">
        <v>18</v>
      </c>
      <c r="G303" t="s">
        <v>19</v>
      </c>
      <c r="H303" t="s">
        <v>22</v>
      </c>
      <c r="I303">
        <v>7.8789999999999996</v>
      </c>
      <c r="J303" s="8">
        <f t="shared" si="59"/>
        <v>-4.8889425398358416E-2</v>
      </c>
      <c r="K303" s="8">
        <f t="shared" si="60"/>
        <v>-0.64666576976546042</v>
      </c>
      <c r="L303">
        <f t="shared" si="58"/>
        <v>-4.8501425398358416E-2</v>
      </c>
      <c r="M303">
        <f t="shared" si="61"/>
        <v>1.9687837650522122E-2</v>
      </c>
      <c r="N303" s="15">
        <v>-3.88E-4</v>
      </c>
      <c r="O303" s="8">
        <f>(I303 - MAX(I242:I303)) / MAX(I242:I303)</f>
        <v>-0.72720033238695381</v>
      </c>
      <c r="P303" s="15">
        <v>-8.5500000000000007E-2</v>
      </c>
      <c r="Q303">
        <f t="shared" si="62"/>
        <v>0.86793868359925253</v>
      </c>
      <c r="R303">
        <f t="shared" si="63"/>
        <v>2.7055002526015989E-4</v>
      </c>
      <c r="S303" s="15">
        <f t="shared" si="64"/>
        <v>0.10060416892927246</v>
      </c>
    </row>
    <row r="304" spans="1:19" x14ac:dyDescent="0.3">
      <c r="A304" s="2">
        <v>43891</v>
      </c>
      <c r="B304">
        <v>2020</v>
      </c>
      <c r="C304">
        <v>3</v>
      </c>
      <c r="D304" s="5" t="s">
        <v>9</v>
      </c>
      <c r="E304" t="s">
        <v>17</v>
      </c>
      <c r="F304" t="s">
        <v>18</v>
      </c>
      <c r="G304" t="s">
        <v>19</v>
      </c>
      <c r="H304" t="s">
        <v>22</v>
      </c>
      <c r="I304">
        <v>5.9690000000000003</v>
      </c>
      <c r="J304" s="8">
        <f t="shared" si="59"/>
        <v>-0.24241655032364506</v>
      </c>
      <c r="K304" s="8">
        <f t="shared" si="60"/>
        <v>-0.73231983497017805</v>
      </c>
      <c r="L304">
        <f t="shared" si="58"/>
        <v>-0.24196555032364506</v>
      </c>
      <c r="M304">
        <f t="shared" si="61"/>
        <v>-7.5206101796580022E-2</v>
      </c>
      <c r="N304" s="15">
        <v>-4.5100000000000001E-4</v>
      </c>
      <c r="O304" s="8">
        <f>(I304 - MAX(I242:I304)) / MAX(I242:I304)</f>
        <v>-0.79333148673914544</v>
      </c>
      <c r="P304" s="15">
        <v>-0.16300000000000001</v>
      </c>
      <c r="Q304">
        <f t="shared" si="62"/>
        <v>1.2795262673860919</v>
      </c>
      <c r="R304">
        <f t="shared" si="63"/>
        <v>7.55534458762438E-3</v>
      </c>
      <c r="S304" s="15">
        <f t="shared" si="64"/>
        <v>0.1194332068145238</v>
      </c>
    </row>
    <row r="305" spans="1:19" x14ac:dyDescent="0.3">
      <c r="A305" s="2">
        <v>43922</v>
      </c>
      <c r="B305">
        <v>2020</v>
      </c>
      <c r="C305">
        <v>4</v>
      </c>
      <c r="D305" s="5" t="s">
        <v>9</v>
      </c>
      <c r="E305" t="s">
        <v>17</v>
      </c>
      <c r="F305" t="s">
        <v>18</v>
      </c>
      <c r="G305" t="s">
        <v>19</v>
      </c>
      <c r="H305" t="s">
        <v>22</v>
      </c>
      <c r="I305">
        <v>6.7779999999999996</v>
      </c>
      <c r="J305" s="8">
        <f t="shared" si="59"/>
        <v>0.13553359021611647</v>
      </c>
      <c r="K305" s="8">
        <f t="shared" si="60"/>
        <v>-0.69604018117404376</v>
      </c>
      <c r="L305">
        <f t="shared" si="58"/>
        <v>0.13590859021611645</v>
      </c>
      <c r="M305">
        <f t="shared" si="61"/>
        <v>8.6129201137725344E-3</v>
      </c>
      <c r="N305" s="15">
        <v>-3.7500000000000001E-4</v>
      </c>
      <c r="O305" s="8">
        <f>(I305 - MAX(I242:I305)) / MAX(I242:I305)</f>
        <v>-0.76532096115227488</v>
      </c>
      <c r="P305" s="15">
        <v>5.0599999999999999E-2</v>
      </c>
      <c r="Q305">
        <f t="shared" si="62"/>
        <v>1.4404834112305005</v>
      </c>
      <c r="R305">
        <f t="shared" si="63"/>
        <v>1.9426345682959693E-2</v>
      </c>
      <c r="S305" s="15">
        <f t="shared" si="64"/>
        <v>0.12652063241112915</v>
      </c>
    </row>
    <row r="306" spans="1:19" x14ac:dyDescent="0.3">
      <c r="A306" s="2">
        <v>43952</v>
      </c>
      <c r="B306">
        <v>2020</v>
      </c>
      <c r="C306">
        <v>5</v>
      </c>
      <c r="D306" s="5" t="s">
        <v>9</v>
      </c>
      <c r="E306" t="s">
        <v>17</v>
      </c>
      <c r="F306" t="s">
        <v>18</v>
      </c>
      <c r="G306" t="s">
        <v>19</v>
      </c>
      <c r="H306" t="s">
        <v>22</v>
      </c>
      <c r="I306">
        <v>7.5309999999999997</v>
      </c>
      <c r="J306" s="8">
        <f t="shared" si="59"/>
        <v>0.11109471820596048</v>
      </c>
      <c r="K306" s="8">
        <f t="shared" si="60"/>
        <v>-0.66227185075563932</v>
      </c>
      <c r="L306">
        <f t="shared" si="58"/>
        <v>0.11152471820596048</v>
      </c>
      <c r="M306">
        <f t="shared" si="61"/>
        <v>0.21230964401767352</v>
      </c>
      <c r="N306" s="15">
        <v>-4.2999999999999999E-4</v>
      </c>
      <c r="O306" s="8">
        <f>(I306 - MAX(I242:I306)) / MAX(I242:I306)</f>
        <v>-0.73924935946264114</v>
      </c>
      <c r="P306" s="15">
        <v>4.1799999999999997E-2</v>
      </c>
      <c r="Q306">
        <f t="shared" si="62"/>
        <v>1.3370192643246941</v>
      </c>
      <c r="R306">
        <f t="shared" si="63"/>
        <v>2.9778190731648172E-2</v>
      </c>
      <c r="S306" s="15">
        <f t="shared" si="64"/>
        <v>0.11714859124625646</v>
      </c>
    </row>
    <row r="307" spans="1:19" x14ac:dyDescent="0.3">
      <c r="A307" s="2">
        <v>43983</v>
      </c>
      <c r="B307">
        <v>2020</v>
      </c>
      <c r="C307">
        <v>6</v>
      </c>
      <c r="D307" s="5" t="s">
        <v>9</v>
      </c>
      <c r="E307" t="s">
        <v>17</v>
      </c>
      <c r="F307" t="s">
        <v>18</v>
      </c>
      <c r="G307" t="s">
        <v>19</v>
      </c>
      <c r="H307" t="s">
        <v>22</v>
      </c>
      <c r="I307">
        <v>8.4640000000000004</v>
      </c>
      <c r="J307" s="8">
        <f t="shared" ref="J307:J338" si="65">(I307-I306)/I306</f>
        <v>0.12388792988978897</v>
      </c>
      <c r="K307" s="8">
        <f t="shared" ref="K307:K338" si="66">(K306+1)*(J307+1)-1</f>
        <v>-0.62043140948024578</v>
      </c>
      <c r="L307">
        <f t="shared" si="58"/>
        <v>0.12424992988978897</v>
      </c>
      <c r="M307">
        <f t="shared" si="61"/>
        <v>0.21816234536742279</v>
      </c>
      <c r="N307" s="15">
        <v>-3.6200000000000002E-4</v>
      </c>
      <c r="O307" s="8">
        <f>(I307 - MAX(I242:I307)) / MAX(I242:I307)</f>
        <v>-0.7069455023890312</v>
      </c>
      <c r="P307" s="15">
        <v>6.0299999999999999E-2</v>
      </c>
      <c r="Q307">
        <f t="shared" si="62"/>
        <v>1.3487509729643912</v>
      </c>
      <c r="R307">
        <f t="shared" si="63"/>
        <v>3.0497572640935684E-2</v>
      </c>
      <c r="S307" s="15">
        <f t="shared" si="64"/>
        <v>0.11787821397963526</v>
      </c>
    </row>
    <row r="308" spans="1:19" x14ac:dyDescent="0.3">
      <c r="A308" s="2">
        <v>44013</v>
      </c>
      <c r="B308">
        <v>2020</v>
      </c>
      <c r="C308">
        <v>7</v>
      </c>
      <c r="D308" s="5" t="s">
        <v>9</v>
      </c>
      <c r="E308" t="s">
        <v>17</v>
      </c>
      <c r="F308" t="s">
        <v>18</v>
      </c>
      <c r="G308" t="s">
        <v>19</v>
      </c>
      <c r="H308" t="s">
        <v>22</v>
      </c>
      <c r="I308">
        <v>7.5910000000000002</v>
      </c>
      <c r="J308" s="8">
        <f t="shared" si="65"/>
        <v>-0.1031427221172023</v>
      </c>
      <c r="K308" s="8">
        <f t="shared" si="66"/>
        <v>-0.65958114713664295</v>
      </c>
      <c r="L308">
        <f t="shared" si="58"/>
        <v>-0.10270672211720229</v>
      </c>
      <c r="M308">
        <f t="shared" si="61"/>
        <v>0.11292085779777097</v>
      </c>
      <c r="N308" s="15">
        <v>-4.3600000000000003E-4</v>
      </c>
      <c r="O308" s="8">
        <f>(I308 - MAX(I242:I308)) / MAX(I242:I308)</f>
        <v>-0.73717194100131567</v>
      </c>
      <c r="P308" s="15">
        <v>-1.8499999999999999E-2</v>
      </c>
      <c r="Q308">
        <f t="shared" si="62"/>
        <v>1.379555047942056</v>
      </c>
      <c r="R308">
        <f t="shared" si="63"/>
        <v>2.0709210670096255E-2</v>
      </c>
      <c r="S308" s="15">
        <f t="shared" si="64"/>
        <v>0.12340519583240822</v>
      </c>
    </row>
    <row r="309" spans="1:19" x14ac:dyDescent="0.3">
      <c r="A309" s="2">
        <v>44044</v>
      </c>
      <c r="B309">
        <v>2020</v>
      </c>
      <c r="C309">
        <v>8</v>
      </c>
      <c r="D309" s="5" t="s">
        <v>9</v>
      </c>
      <c r="E309" t="s">
        <v>17</v>
      </c>
      <c r="F309" t="s">
        <v>18</v>
      </c>
      <c r="G309" t="s">
        <v>19</v>
      </c>
      <c r="H309" t="s">
        <v>22</v>
      </c>
      <c r="I309">
        <v>8.0250000000000004</v>
      </c>
      <c r="J309" s="8">
        <f t="shared" si="65"/>
        <v>5.7172967988407347E-2</v>
      </c>
      <c r="K309" s="8">
        <f t="shared" si="66"/>
        <v>-0.64011839095923584</v>
      </c>
      <c r="L309">
        <f t="shared" si="58"/>
        <v>5.7608967988407346E-2</v>
      </c>
      <c r="M309">
        <f t="shared" si="61"/>
        <v>0.1998229516261644</v>
      </c>
      <c r="N309" s="15">
        <v>-4.3600000000000003E-4</v>
      </c>
      <c r="O309" s="8">
        <f>(I309 - MAX(I242:I309)) / MAX(I242:I309)</f>
        <v>-0.72214528079772866</v>
      </c>
      <c r="P309" s="15">
        <v>3.09E-2</v>
      </c>
      <c r="Q309">
        <f t="shared" si="62"/>
        <v>1.3600813552059534</v>
      </c>
      <c r="R309">
        <f t="shared" si="63"/>
        <v>2.6103969363200315E-2</v>
      </c>
      <c r="S309" s="15">
        <f t="shared" si="64"/>
        <v>0.12125963058405463</v>
      </c>
    </row>
    <row r="310" spans="1:19" x14ac:dyDescent="0.3">
      <c r="A310" s="2">
        <v>44075</v>
      </c>
      <c r="B310">
        <v>2020</v>
      </c>
      <c r="C310">
        <v>9</v>
      </c>
      <c r="D310" s="5" t="s">
        <v>9</v>
      </c>
      <c r="E310" t="s">
        <v>17</v>
      </c>
      <c r="F310" t="s">
        <v>18</v>
      </c>
      <c r="G310" t="s">
        <v>19</v>
      </c>
      <c r="H310" t="s">
        <v>22</v>
      </c>
      <c r="I310">
        <v>7.19</v>
      </c>
      <c r="J310" s="8">
        <f t="shared" si="65"/>
        <v>-0.10404984423676011</v>
      </c>
      <c r="K310" s="8">
        <f t="shared" si="66"/>
        <v>-0.67756401632360197</v>
      </c>
      <c r="L310">
        <f t="shared" si="58"/>
        <v>-0.10361284423676011</v>
      </c>
      <c r="M310">
        <f t="shared" si="61"/>
        <v>9.3058821493324839E-2</v>
      </c>
      <c r="N310" s="15">
        <v>-4.37E-4</v>
      </c>
      <c r="O310" s="8">
        <f>(I310 - MAX(I242:I310)) / MAX(I242:I310)</f>
        <v>-0.75105602105117375</v>
      </c>
      <c r="P310" s="15">
        <v>-2.41E-2</v>
      </c>
      <c r="Q310">
        <f t="shared" si="62"/>
        <v>1.4373142115461939</v>
      </c>
      <c r="R310">
        <f t="shared" si="63"/>
        <v>2.1619645720978138E-2</v>
      </c>
      <c r="S310" s="15">
        <f t="shared" si="64"/>
        <v>0.12640804066413203</v>
      </c>
    </row>
    <row r="311" spans="1:19" x14ac:dyDescent="0.3">
      <c r="A311" s="2">
        <v>44105</v>
      </c>
      <c r="B311">
        <v>2020</v>
      </c>
      <c r="C311">
        <v>10</v>
      </c>
      <c r="D311" s="5" t="s">
        <v>9</v>
      </c>
      <c r="E311" t="s">
        <v>17</v>
      </c>
      <c r="F311" t="s">
        <v>18</v>
      </c>
      <c r="G311" t="s">
        <v>19</v>
      </c>
      <c r="H311" t="s">
        <v>22</v>
      </c>
      <c r="I311">
        <v>7.9009999999999998</v>
      </c>
      <c r="J311" s="8">
        <f t="shared" si="65"/>
        <v>9.8887343532684191E-2</v>
      </c>
      <c r="K311" s="8">
        <f t="shared" si="66"/>
        <v>-0.64567917843849498</v>
      </c>
      <c r="L311">
        <f t="shared" si="58"/>
        <v>9.9393343532684197E-2</v>
      </c>
      <c r="M311">
        <f t="shared" si="61"/>
        <v>0.1937833273451337</v>
      </c>
      <c r="N311" s="15">
        <v>-5.0600000000000005E-4</v>
      </c>
      <c r="O311" s="8">
        <f>(I311 - MAX(I242:I311)) / MAX(I242:I311)</f>
        <v>-0.72643861228446782</v>
      </c>
      <c r="P311" s="15">
        <v>-7.3700000000000002E-2</v>
      </c>
      <c r="Q311">
        <f t="shared" si="62"/>
        <v>1.2574072578381701</v>
      </c>
      <c r="R311">
        <f t="shared" si="63"/>
        <v>4.1945910005743797E-2</v>
      </c>
      <c r="S311" s="15">
        <f t="shared" si="64"/>
        <v>0.12687332895448455</v>
      </c>
    </row>
    <row r="312" spans="1:19" x14ac:dyDescent="0.3">
      <c r="A312" s="2">
        <v>44136</v>
      </c>
      <c r="B312">
        <v>2020</v>
      </c>
      <c r="C312">
        <v>11</v>
      </c>
      <c r="D312" s="5" t="s">
        <v>9</v>
      </c>
      <c r="E312" t="s">
        <v>17</v>
      </c>
      <c r="F312" t="s">
        <v>18</v>
      </c>
      <c r="G312" t="s">
        <v>19</v>
      </c>
      <c r="H312" t="s">
        <v>22</v>
      </c>
      <c r="I312">
        <v>9.343</v>
      </c>
      <c r="J312" s="8">
        <f t="shared" si="65"/>
        <v>0.18250854322237695</v>
      </c>
      <c r="K312" s="8">
        <f t="shared" si="66"/>
        <v>-0.581012601461949</v>
      </c>
      <c r="L312">
        <f t="shared" si="58"/>
        <v>0.18302054322237696</v>
      </c>
      <c r="M312">
        <f t="shared" si="61"/>
        <v>0.29100778474731931</v>
      </c>
      <c r="N312" s="15">
        <v>-5.1199999999999998E-4</v>
      </c>
      <c r="O312" s="8">
        <f>(I312 - MAX(I242:I312)) / MAX(I242:I312)</f>
        <v>-0.67651132193061425</v>
      </c>
      <c r="P312" s="15">
        <v>0.18060000000000001</v>
      </c>
      <c r="Q312">
        <f t="shared" si="62"/>
        <v>1.0908382882504928</v>
      </c>
      <c r="R312">
        <f t="shared" si="63"/>
        <v>4.0294729691781064E-2</v>
      </c>
      <c r="S312" s="15">
        <f t="shared" si="64"/>
        <v>0.13460646732065351</v>
      </c>
    </row>
    <row r="313" spans="1:19" x14ac:dyDescent="0.3">
      <c r="A313" s="2">
        <v>44166</v>
      </c>
      <c r="B313">
        <v>2020</v>
      </c>
      <c r="C313">
        <v>12</v>
      </c>
      <c r="D313" s="5" t="s">
        <v>9</v>
      </c>
      <c r="E313" t="s">
        <v>17</v>
      </c>
      <c r="F313" t="s">
        <v>18</v>
      </c>
      <c r="G313" t="s">
        <v>19</v>
      </c>
      <c r="H313" t="s">
        <v>22</v>
      </c>
      <c r="I313">
        <v>8.9489999999999998</v>
      </c>
      <c r="J313" s="8">
        <f t="shared" si="65"/>
        <v>-4.2170609012094629E-2</v>
      </c>
      <c r="K313" s="8">
        <f t="shared" si="66"/>
        <v>-0.59868155522669175</v>
      </c>
      <c r="L313">
        <f t="shared" si="58"/>
        <v>-4.1655609012094627E-2</v>
      </c>
      <c r="M313">
        <f t="shared" si="61"/>
        <v>0.22672678295511089</v>
      </c>
      <c r="N313" s="15">
        <v>-5.1500000000000005E-4</v>
      </c>
      <c r="O313" s="8">
        <f>(I313 - MAX(I242:I313)) / MAX(I242:I313)</f>
        <v>-0.69015303649331761</v>
      </c>
      <c r="P313" s="15">
        <v>2.2599999999999999E-2</v>
      </c>
      <c r="Q313">
        <f t="shared" si="62"/>
        <v>1.0604405355827136</v>
      </c>
      <c r="R313">
        <f t="shared" si="63"/>
        <v>3.1070094398804558E-2</v>
      </c>
      <c r="S313" s="15">
        <f t="shared" si="64"/>
        <v>0.13641748563917513</v>
      </c>
    </row>
    <row r="314" spans="1:19" x14ac:dyDescent="0.3">
      <c r="A314" s="2">
        <v>44197</v>
      </c>
      <c r="B314">
        <v>2021</v>
      </c>
      <c r="C314">
        <v>1</v>
      </c>
      <c r="D314" s="5" t="s">
        <v>9</v>
      </c>
      <c r="E314" t="s">
        <v>17</v>
      </c>
      <c r="F314" t="s">
        <v>18</v>
      </c>
      <c r="G314" t="s">
        <v>19</v>
      </c>
      <c r="H314" t="s">
        <v>22</v>
      </c>
      <c r="I314">
        <v>8.3689999999999998</v>
      </c>
      <c r="J314" s="8">
        <f t="shared" si="65"/>
        <v>-6.4811710805676617E-2</v>
      </c>
      <c r="K314" s="8">
        <f t="shared" si="66"/>
        <v>-0.62469169021032322</v>
      </c>
      <c r="L314">
        <f t="shared" si="58"/>
        <v>-6.4325710805676617E-2</v>
      </c>
      <c r="M314">
        <f t="shared" si="61"/>
        <v>7.0943481746466433E-2</v>
      </c>
      <c r="N314" s="15">
        <v>-4.86E-4</v>
      </c>
      <c r="O314" s="8">
        <f>(I314 - MAX(I242:I314)) / MAX(I242:I314)</f>
        <v>-0.71023474828612976</v>
      </c>
      <c r="P314" s="15">
        <v>-2.52E-2</v>
      </c>
      <c r="Q314">
        <f t="shared" si="62"/>
        <v>1.1488120477187707</v>
      </c>
      <c r="R314">
        <f t="shared" si="63"/>
        <v>8.8738888543137863E-3</v>
      </c>
      <c r="S314" s="15">
        <f t="shared" si="64"/>
        <v>0.12796363678027795</v>
      </c>
    </row>
    <row r="315" spans="1:19" x14ac:dyDescent="0.3">
      <c r="A315" s="2">
        <v>44228</v>
      </c>
      <c r="B315">
        <v>2021</v>
      </c>
      <c r="C315">
        <v>2</v>
      </c>
      <c r="D315" s="5" t="s">
        <v>9</v>
      </c>
      <c r="E315" t="s">
        <v>17</v>
      </c>
      <c r="F315" t="s">
        <v>18</v>
      </c>
      <c r="G315" t="s">
        <v>19</v>
      </c>
      <c r="H315" t="s">
        <v>22</v>
      </c>
      <c r="I315">
        <v>10.214</v>
      </c>
      <c r="J315" s="8">
        <f t="shared" si="65"/>
        <v>0.22045644640936798</v>
      </c>
      <c r="K315" s="8">
        <f t="shared" si="66"/>
        <v>-0.54195255392618491</v>
      </c>
      <c r="L315">
        <f t="shared" si="58"/>
        <v>0.22082744640936799</v>
      </c>
      <c r="M315">
        <f t="shared" si="61"/>
        <v>0.22514019971570254</v>
      </c>
      <c r="N315" s="15">
        <v>-3.7100000000000002E-4</v>
      </c>
      <c r="O315" s="8">
        <f>(I315 - MAX(I242:I315)) / MAX(I242:I315)</f>
        <v>-0.64635413060037383</v>
      </c>
      <c r="P315" s="15">
        <v>4.4499999999999998E-2</v>
      </c>
      <c r="Q315">
        <f t="shared" si="62"/>
        <v>1.271124280851905</v>
      </c>
      <c r="R315">
        <f t="shared" si="63"/>
        <v>1.7527498029667705E-2</v>
      </c>
      <c r="S315" s="15">
        <f t="shared" si="64"/>
        <v>0.14001168436637229</v>
      </c>
    </row>
    <row r="316" spans="1:19" x14ac:dyDescent="0.3">
      <c r="A316" s="2">
        <v>44256</v>
      </c>
      <c r="B316">
        <v>2021</v>
      </c>
      <c r="C316">
        <v>3</v>
      </c>
      <c r="D316" s="5" t="s">
        <v>9</v>
      </c>
      <c r="E316" t="s">
        <v>17</v>
      </c>
      <c r="F316" t="s">
        <v>18</v>
      </c>
      <c r="G316" t="s">
        <v>19</v>
      </c>
      <c r="H316" t="s">
        <v>22</v>
      </c>
      <c r="I316">
        <v>10.188000000000001</v>
      </c>
      <c r="J316" s="8">
        <f t="shared" si="65"/>
        <v>-2.5455257489719798E-3</v>
      </c>
      <c r="K316" s="8">
        <f t="shared" si="66"/>
        <v>-0.54311852549441664</v>
      </c>
      <c r="L316">
        <f t="shared" si="58"/>
        <v>-2.2415257489719798E-3</v>
      </c>
      <c r="M316">
        <f t="shared" si="61"/>
        <v>0.461174015937929</v>
      </c>
      <c r="N316" s="15">
        <v>-3.0400000000000002E-4</v>
      </c>
      <c r="O316" s="8">
        <f>(I316 - MAX(I242:I316)) / MAX(I242:I316)</f>
        <v>-0.64725434526694836</v>
      </c>
      <c r="P316" s="15">
        <v>7.7800000000000008E-2</v>
      </c>
      <c r="Q316">
        <f t="shared" si="62"/>
        <v>0.9248632455952005</v>
      </c>
      <c r="R316">
        <f t="shared" si="63"/>
        <v>2.276915462362282E-2</v>
      </c>
      <c r="S316" s="15">
        <f t="shared" si="64"/>
        <v>0.11166990951111577</v>
      </c>
    </row>
    <row r="317" spans="1:19" x14ac:dyDescent="0.3">
      <c r="A317" s="2">
        <v>44287</v>
      </c>
      <c r="B317">
        <v>2021</v>
      </c>
      <c r="C317">
        <v>4</v>
      </c>
      <c r="D317" s="5" t="s">
        <v>9</v>
      </c>
      <c r="E317" t="s">
        <v>17</v>
      </c>
      <c r="F317" t="s">
        <v>18</v>
      </c>
      <c r="G317" t="s">
        <v>19</v>
      </c>
      <c r="H317" t="s">
        <v>22</v>
      </c>
      <c r="I317">
        <v>11.606</v>
      </c>
      <c r="J317" s="8">
        <f t="shared" si="65"/>
        <v>0.13918335296427162</v>
      </c>
      <c r="K317" s="8">
        <f t="shared" si="66"/>
        <v>-0.47952822996546918</v>
      </c>
      <c r="L317">
        <f t="shared" si="58"/>
        <v>0.13945435296427161</v>
      </c>
      <c r="M317">
        <f t="shared" ref="M317:M348" si="67">(AVERAGE(J306:J317)-AVERAGE(N306:N317))/STDEV(J306:J317)</f>
        <v>0.46276064562284619</v>
      </c>
      <c r="N317" s="15">
        <v>-2.7099999999999997E-4</v>
      </c>
      <c r="O317" s="8">
        <f>(I317 - MAX(I242:I317)) / MAX(I242:I317)</f>
        <v>-0.59815802229762494</v>
      </c>
      <c r="P317" s="15">
        <v>1.4200000000000001E-2</v>
      </c>
      <c r="Q317">
        <f t="shared" ref="Q317:Q348" si="68" xml:space="preserve"> _xlfn.COVARIANCE.P(J306:J317, P306:P317) / _xlfn.VAR.P(P306:P317)</f>
        <v>0.86114300064343585</v>
      </c>
      <c r="R317">
        <f t="shared" ref="R317:R348" si="69">AVERAGE(J306:J317)-(AVERAGE(N306:N317)+Q317*(AVERAGE(P306:P317)-AVERAGE(N306:N317)))</f>
        <v>2.7663648169815518E-2</v>
      </c>
      <c r="S317" s="15">
        <f t="shared" ref="S317:S348" si="70">STDEV(J306:J317)</f>
        <v>0.11192555232947028</v>
      </c>
    </row>
    <row r="318" spans="1:19" x14ac:dyDescent="0.3">
      <c r="A318" s="2">
        <v>44317</v>
      </c>
      <c r="B318">
        <v>2021</v>
      </c>
      <c r="C318">
        <v>5</v>
      </c>
      <c r="D318" s="5" t="s">
        <v>9</v>
      </c>
      <c r="E318" t="s">
        <v>17</v>
      </c>
      <c r="F318" t="s">
        <v>18</v>
      </c>
      <c r="G318" t="s">
        <v>19</v>
      </c>
      <c r="H318" t="s">
        <v>22</v>
      </c>
      <c r="I318">
        <v>12.192</v>
      </c>
      <c r="J318" s="8">
        <f t="shared" si="65"/>
        <v>5.0491125280027596E-2</v>
      </c>
      <c r="K318" s="8">
        <f t="shared" si="66"/>
        <v>-0.45324902461993799</v>
      </c>
      <c r="L318">
        <f t="shared" si="58"/>
        <v>5.0677125280027595E-2</v>
      </c>
      <c r="M318">
        <f t="shared" si="67"/>
        <v>0.42344859998733758</v>
      </c>
      <c r="N318" s="15">
        <v>-1.8599999999999999E-4</v>
      </c>
      <c r="O318" s="8">
        <f>(I318 - MAX(I242:I318)) / MAX(I242:I318)</f>
        <v>-0.57786856865868019</v>
      </c>
      <c r="P318" s="15">
        <v>1.6299999999999999E-2</v>
      </c>
      <c r="Q318">
        <f t="shared" si="68"/>
        <v>0.84228518155866439</v>
      </c>
      <c r="R318">
        <f t="shared" si="69"/>
        <v>2.492843485152162E-2</v>
      </c>
      <c r="S318" s="15">
        <f t="shared" si="70"/>
        <v>0.11034186466845983</v>
      </c>
    </row>
    <row r="319" spans="1:19" x14ac:dyDescent="0.3">
      <c r="A319" s="2">
        <v>44348</v>
      </c>
      <c r="B319">
        <v>2021</v>
      </c>
      <c r="C319">
        <v>6</v>
      </c>
      <c r="D319" s="5" t="s">
        <v>9</v>
      </c>
      <c r="E319" t="s">
        <v>17</v>
      </c>
      <c r="F319" t="s">
        <v>18</v>
      </c>
      <c r="G319" t="s">
        <v>19</v>
      </c>
      <c r="H319" t="s">
        <v>22</v>
      </c>
      <c r="I319">
        <v>10.986000000000001</v>
      </c>
      <c r="J319" s="8">
        <f t="shared" si="65"/>
        <v>-9.8917322834645632E-2</v>
      </c>
      <c r="K319" s="8">
        <f t="shared" si="66"/>
        <v>-0.50733216736176501</v>
      </c>
      <c r="L319">
        <f t="shared" si="58"/>
        <v>-9.8676322834645627E-2</v>
      </c>
      <c r="M319">
        <f t="shared" si="67"/>
        <v>0.24526648536818058</v>
      </c>
      <c r="N319" s="15">
        <v>-2.41E-4</v>
      </c>
      <c r="O319" s="8">
        <f>(I319 - MAX(I242:I319)) / MAX(I242:I319)</f>
        <v>-0.61962467973132052</v>
      </c>
      <c r="P319" s="15">
        <v>6.1000000000000004E-3</v>
      </c>
      <c r="Q319">
        <f t="shared" si="68"/>
        <v>0.84269051065113987</v>
      </c>
      <c r="R319">
        <f t="shared" si="69"/>
        <v>1.0155407760204307E-2</v>
      </c>
      <c r="S319" s="15">
        <f t="shared" si="70"/>
        <v>0.11476056479776579</v>
      </c>
    </row>
    <row r="320" spans="1:19" x14ac:dyDescent="0.3">
      <c r="A320" s="2">
        <v>44378</v>
      </c>
      <c r="B320">
        <v>2021</v>
      </c>
      <c r="C320">
        <v>7</v>
      </c>
      <c r="D320" s="5" t="s">
        <v>9</v>
      </c>
      <c r="E320" t="s">
        <v>17</v>
      </c>
      <c r="F320" t="s">
        <v>18</v>
      </c>
      <c r="G320" t="s">
        <v>19</v>
      </c>
      <c r="H320" t="s">
        <v>22</v>
      </c>
      <c r="I320">
        <v>10.657999999999999</v>
      </c>
      <c r="J320" s="8">
        <f t="shared" si="65"/>
        <v>-2.9856180593482721E-2</v>
      </c>
      <c r="K320" s="8">
        <f t="shared" si="66"/>
        <v>-0.52204134714561179</v>
      </c>
      <c r="L320">
        <f t="shared" si="58"/>
        <v>-2.9480180593482719E-2</v>
      </c>
      <c r="M320">
        <f t="shared" si="67"/>
        <v>0.31431313706472136</v>
      </c>
      <c r="N320" s="15">
        <v>-3.7599999999999998E-4</v>
      </c>
      <c r="O320" s="8">
        <f>(I320 - MAX(I242:I320)) / MAX(I242:I320)</f>
        <v>-0.63098123398656614</v>
      </c>
      <c r="P320" s="15">
        <v>6.1999999999999998E-3</v>
      </c>
      <c r="Q320">
        <f t="shared" si="68"/>
        <v>0.76598719567184315</v>
      </c>
      <c r="R320">
        <f t="shared" si="69"/>
        <v>1.6322414678818998E-2</v>
      </c>
      <c r="S320" s="15">
        <f t="shared" si="70"/>
        <v>0.10896500381848916</v>
      </c>
    </row>
    <row r="321" spans="1:19" x14ac:dyDescent="0.3">
      <c r="A321" s="2">
        <v>44409</v>
      </c>
      <c r="B321">
        <v>2021</v>
      </c>
      <c r="C321">
        <v>8</v>
      </c>
      <c r="D321" s="5" t="s">
        <v>9</v>
      </c>
      <c r="E321" t="s">
        <v>17</v>
      </c>
      <c r="F321" t="s">
        <v>18</v>
      </c>
      <c r="G321" t="s">
        <v>19</v>
      </c>
      <c r="H321" t="s">
        <v>22</v>
      </c>
      <c r="I321">
        <v>10.528</v>
      </c>
      <c r="J321" s="8">
        <f t="shared" si="65"/>
        <v>-1.2197410395946615E-2</v>
      </c>
      <c r="K321" s="8">
        <f t="shared" si="66"/>
        <v>-0.52787120498677054</v>
      </c>
      <c r="L321">
        <f t="shared" si="58"/>
        <v>-1.1748410395946615E-2</v>
      </c>
      <c r="M321">
        <f t="shared" si="67"/>
        <v>0.2601011327085232</v>
      </c>
      <c r="N321" s="15">
        <v>-4.4900000000000002E-4</v>
      </c>
      <c r="O321" s="8">
        <f>(I321 - MAX(I242:I321)) / MAX(I242:I321)</f>
        <v>-0.63548230731943767</v>
      </c>
      <c r="P321" s="15">
        <v>2.6200000000000001E-2</v>
      </c>
      <c r="Q321">
        <f t="shared" si="68"/>
        <v>0.75861311780713936</v>
      </c>
      <c r="R321">
        <f t="shared" si="69"/>
        <v>1.1011513403853104E-2</v>
      </c>
      <c r="S321" s="15">
        <f t="shared" si="70"/>
        <v>0.1094549275966927</v>
      </c>
    </row>
    <row r="322" spans="1:19" x14ac:dyDescent="0.3">
      <c r="A322" s="2">
        <v>44440</v>
      </c>
      <c r="B322">
        <v>2021</v>
      </c>
      <c r="C322">
        <v>9</v>
      </c>
      <c r="D322" s="5" t="s">
        <v>9</v>
      </c>
      <c r="E322" t="s">
        <v>17</v>
      </c>
      <c r="F322" t="s">
        <v>18</v>
      </c>
      <c r="G322" t="s">
        <v>19</v>
      </c>
      <c r="H322" t="s">
        <v>22</v>
      </c>
      <c r="I322">
        <v>11.038</v>
      </c>
      <c r="J322" s="8">
        <f t="shared" si="65"/>
        <v>4.8442249240121561E-2</v>
      </c>
      <c r="K322" s="8">
        <f t="shared" si="66"/>
        <v>-0.50500022422530144</v>
      </c>
      <c r="L322">
        <f t="shared" ref="L322:L385" si="71">J322-N322</f>
        <v>4.8744249240121558E-2</v>
      </c>
      <c r="M322">
        <f t="shared" si="67"/>
        <v>0.40651238910722798</v>
      </c>
      <c r="N322" s="15">
        <v>-3.0200000000000002E-4</v>
      </c>
      <c r="O322" s="8">
        <f>(I322 - MAX(I242:I322)) / MAX(I242:I322)</f>
        <v>-0.6178242503981719</v>
      </c>
      <c r="P322" s="15">
        <v>-3.5299999999999998E-2</v>
      </c>
      <c r="Q322">
        <f t="shared" si="68"/>
        <v>0.57493524221284309</v>
      </c>
      <c r="R322">
        <f t="shared" si="69"/>
        <v>2.8477960445872402E-2</v>
      </c>
      <c r="S322" s="15">
        <f t="shared" si="70"/>
        <v>0.1012657331188434</v>
      </c>
    </row>
    <row r="323" spans="1:19" x14ac:dyDescent="0.3">
      <c r="A323" s="2">
        <v>44470</v>
      </c>
      <c r="B323">
        <v>2021</v>
      </c>
      <c r="C323">
        <v>10</v>
      </c>
      <c r="D323" s="5" t="s">
        <v>9</v>
      </c>
      <c r="E323" t="s">
        <v>17</v>
      </c>
      <c r="F323" t="s">
        <v>18</v>
      </c>
      <c r="G323" t="s">
        <v>19</v>
      </c>
      <c r="H323" t="s">
        <v>22</v>
      </c>
      <c r="I323">
        <v>11.146000000000001</v>
      </c>
      <c r="J323" s="8">
        <f t="shared" si="65"/>
        <v>9.78438122848347E-3</v>
      </c>
      <c r="K323" s="8">
        <f t="shared" si="66"/>
        <v>-0.50015695771110802</v>
      </c>
      <c r="L323">
        <f t="shared" si="71"/>
        <v>9.95438122848347E-3</v>
      </c>
      <c r="M323">
        <f t="shared" si="67"/>
        <v>0.3375451316674995</v>
      </c>
      <c r="N323" s="15">
        <v>-1.7000000000000001E-4</v>
      </c>
      <c r="O323" s="8">
        <f>(I323 - MAX(I242:I323)) / MAX(I242:I323)</f>
        <v>-0.61408489716778614</v>
      </c>
      <c r="P323" s="15">
        <v>0.05</v>
      </c>
      <c r="Q323">
        <f t="shared" si="68"/>
        <v>0.89645660167792518</v>
      </c>
      <c r="R323">
        <f t="shared" si="69"/>
        <v>4.7134271620574118E-3</v>
      </c>
      <c r="S323" s="15">
        <f t="shared" si="70"/>
        <v>9.9875616868209699E-2</v>
      </c>
    </row>
    <row r="324" spans="1:19" x14ac:dyDescent="0.3">
      <c r="A324" s="2">
        <v>44501</v>
      </c>
      <c r="B324">
        <v>2021</v>
      </c>
      <c r="C324">
        <v>11</v>
      </c>
      <c r="D324" s="5" t="s">
        <v>9</v>
      </c>
      <c r="E324" t="s">
        <v>17</v>
      </c>
      <c r="F324" t="s">
        <v>18</v>
      </c>
      <c r="G324" t="s">
        <v>19</v>
      </c>
      <c r="H324" t="s">
        <v>22</v>
      </c>
      <c r="I324">
        <v>10.66</v>
      </c>
      <c r="J324" s="8">
        <f t="shared" si="65"/>
        <v>-4.3603086308989826E-2</v>
      </c>
      <c r="K324" s="8">
        <f t="shared" si="66"/>
        <v>-0.52195165702497859</v>
      </c>
      <c r="L324">
        <f t="shared" si="71"/>
        <v>-4.3342086308989829E-2</v>
      </c>
      <c r="M324">
        <f t="shared" si="67"/>
        <v>0.16494623086229007</v>
      </c>
      <c r="N324" s="15">
        <v>-2.61E-4</v>
      </c>
      <c r="O324" s="8">
        <f>(I324 - MAX(I242:I324)) / MAX(I242:I324)</f>
        <v>-0.63091198670452187</v>
      </c>
      <c r="P324" s="15">
        <v>-4.41E-2</v>
      </c>
      <c r="Q324">
        <f t="shared" si="68"/>
        <v>0.74172544574110222</v>
      </c>
      <c r="R324">
        <f t="shared" si="69"/>
        <v>4.7595317886043823E-3</v>
      </c>
      <c r="S324" s="15">
        <f t="shared" si="70"/>
        <v>9.0023128795240132E-2</v>
      </c>
    </row>
    <row r="325" spans="1:19" x14ac:dyDescent="0.3">
      <c r="A325" s="2">
        <v>44531</v>
      </c>
      <c r="B325">
        <v>2021</v>
      </c>
      <c r="C325">
        <v>12</v>
      </c>
      <c r="D325" s="5" t="s">
        <v>9</v>
      </c>
      <c r="E325" t="s">
        <v>17</v>
      </c>
      <c r="F325" t="s">
        <v>18</v>
      </c>
      <c r="G325" t="s">
        <v>19</v>
      </c>
      <c r="H325" t="s">
        <v>22</v>
      </c>
      <c r="I325">
        <v>11.018000000000001</v>
      </c>
      <c r="J325" s="8">
        <f t="shared" si="65"/>
        <v>3.358348968105071E-2</v>
      </c>
      <c r="K325" s="8">
        <f t="shared" si="66"/>
        <v>-0.50589712543163357</v>
      </c>
      <c r="L325">
        <f t="shared" si="71"/>
        <v>3.3903489681050711E-2</v>
      </c>
      <c r="M325">
        <f t="shared" si="67"/>
        <v>0.23940272814460339</v>
      </c>
      <c r="N325" s="15">
        <v>-3.2000000000000003E-4</v>
      </c>
      <c r="O325" s="8">
        <f>(I325 - MAX(I242:I325)) / MAX(I242:I325)</f>
        <v>-0.61851672321861362</v>
      </c>
      <c r="P325" s="15">
        <v>5.9800000000000013E-2</v>
      </c>
      <c r="Q325">
        <f t="shared" si="68"/>
        <v>0.72449280860977228</v>
      </c>
      <c r="R325">
        <f t="shared" si="69"/>
        <v>9.0563784665012147E-3</v>
      </c>
      <c r="S325" s="15">
        <f t="shared" si="70"/>
        <v>8.8326342422443818E-2</v>
      </c>
    </row>
    <row r="326" spans="1:19" x14ac:dyDescent="0.3">
      <c r="A326" s="2">
        <v>44562</v>
      </c>
      <c r="B326">
        <v>2022</v>
      </c>
      <c r="C326">
        <v>1</v>
      </c>
      <c r="D326" s="5" t="s">
        <v>9</v>
      </c>
      <c r="E326" t="s">
        <v>17</v>
      </c>
      <c r="F326" t="s">
        <v>18</v>
      </c>
      <c r="G326" t="s">
        <v>19</v>
      </c>
      <c r="H326" t="s">
        <v>22</v>
      </c>
      <c r="I326">
        <v>12.254</v>
      </c>
      <c r="J326" s="8">
        <f t="shared" si="65"/>
        <v>0.11218006897803583</v>
      </c>
      <c r="K326" s="8">
        <f t="shared" si="66"/>
        <v>-0.45046863088030842</v>
      </c>
      <c r="L326">
        <f t="shared" si="71"/>
        <v>0.11227606897803583</v>
      </c>
      <c r="M326">
        <f t="shared" si="67"/>
        <v>0.40986412952796497</v>
      </c>
      <c r="N326" s="15">
        <v>-9.6000000000000002E-5</v>
      </c>
      <c r="O326" s="8">
        <f>(I326 - MAX(I242:I326)) / MAX(I242:I326)</f>
        <v>-0.57572190291531056</v>
      </c>
      <c r="P326" s="15">
        <v>-3.0499999999999999E-2</v>
      </c>
      <c r="Q326">
        <f t="shared" si="68"/>
        <v>0.23084698392808967</v>
      </c>
      <c r="R326">
        <f t="shared" si="69"/>
        <v>3.2119833309755319E-2</v>
      </c>
      <c r="S326" s="15">
        <f t="shared" si="70"/>
        <v>8.7498221340437166E-2</v>
      </c>
    </row>
    <row r="327" spans="1:19" x14ac:dyDescent="0.3">
      <c r="A327" s="2">
        <v>44593</v>
      </c>
      <c r="B327">
        <v>2022</v>
      </c>
      <c r="C327">
        <v>2</v>
      </c>
      <c r="D327" s="5" t="s">
        <v>9</v>
      </c>
      <c r="E327" t="s">
        <v>17</v>
      </c>
      <c r="F327" t="s">
        <v>18</v>
      </c>
      <c r="G327" t="s">
        <v>19</v>
      </c>
      <c r="H327" t="s">
        <v>22</v>
      </c>
      <c r="I327">
        <v>11.26</v>
      </c>
      <c r="J327" s="8">
        <f t="shared" si="65"/>
        <v>-8.1116370164844118E-2</v>
      </c>
      <c r="K327" s="8">
        <f t="shared" si="66"/>
        <v>-0.49504462083501488</v>
      </c>
      <c r="L327">
        <f t="shared" si="71"/>
        <v>-8.1241370164844118E-2</v>
      </c>
      <c r="M327">
        <f t="shared" si="67"/>
        <v>0.14971995237957464</v>
      </c>
      <c r="N327" s="15">
        <v>1.25E-4</v>
      </c>
      <c r="O327" s="8">
        <f>(I327 - MAX(I242:I327)) / MAX(I242:I327)</f>
        <v>-0.61013780209126789</v>
      </c>
      <c r="P327" s="15">
        <v>-0.06</v>
      </c>
      <c r="Q327">
        <f t="shared" si="68"/>
        <v>0.23189481932480968</v>
      </c>
      <c r="R327">
        <f t="shared" si="69"/>
        <v>8.9594465299794868E-3</v>
      </c>
      <c r="S327" s="15">
        <f t="shared" si="70"/>
        <v>7.1399841997395158E-2</v>
      </c>
    </row>
    <row r="328" spans="1:19" x14ac:dyDescent="0.3">
      <c r="A328" s="2">
        <v>44621</v>
      </c>
      <c r="B328">
        <v>2022</v>
      </c>
      <c r="C328">
        <v>3</v>
      </c>
      <c r="D328" s="5" t="s">
        <v>9</v>
      </c>
      <c r="E328" t="s">
        <v>17</v>
      </c>
      <c r="F328" t="s">
        <v>18</v>
      </c>
      <c r="G328" t="s">
        <v>19</v>
      </c>
      <c r="H328" t="s">
        <v>22</v>
      </c>
      <c r="I328">
        <v>11.51</v>
      </c>
      <c r="J328" s="8">
        <f t="shared" si="65"/>
        <v>2.2202486678507993E-2</v>
      </c>
      <c r="K328" s="8">
        <f t="shared" si="66"/>
        <v>-0.48383335575586339</v>
      </c>
      <c r="L328">
        <f t="shared" si="71"/>
        <v>2.1967486678507994E-2</v>
      </c>
      <c r="M328">
        <f t="shared" si="67"/>
        <v>0.17810530420266318</v>
      </c>
      <c r="N328" s="15">
        <v>2.3499999999999999E-4</v>
      </c>
      <c r="O328" s="8">
        <f>(I328 - MAX(I242:I328)) / MAX(I242:I328)</f>
        <v>-0.60148189183574541</v>
      </c>
      <c r="P328" s="15">
        <v>-5.5000000000000014E-3</v>
      </c>
      <c r="Q328">
        <f t="shared" si="68"/>
        <v>0.3774305663503536</v>
      </c>
      <c r="R328">
        <f t="shared" si="69"/>
        <v>1.2527741696466385E-2</v>
      </c>
      <c r="S328" s="15">
        <f t="shared" si="70"/>
        <v>7.1347670991255871E-2</v>
      </c>
    </row>
    <row r="329" spans="1:19" x14ac:dyDescent="0.3">
      <c r="A329" s="2">
        <v>44652</v>
      </c>
      <c r="B329">
        <v>2022</v>
      </c>
      <c r="C329">
        <v>4</v>
      </c>
      <c r="D329" s="5" t="s">
        <v>9</v>
      </c>
      <c r="E329" t="s">
        <v>17</v>
      </c>
      <c r="F329" t="s">
        <v>18</v>
      </c>
      <c r="G329" t="s">
        <v>19</v>
      </c>
      <c r="H329" t="s">
        <v>22</v>
      </c>
      <c r="I329">
        <v>9.6259999999999994</v>
      </c>
      <c r="J329" s="8">
        <f t="shared" si="65"/>
        <v>-0.16368375325803652</v>
      </c>
      <c r="K329" s="8">
        <f t="shared" si="66"/>
        <v>-0.56832144939234941</v>
      </c>
      <c r="L329">
        <f t="shared" si="71"/>
        <v>-0.16430575325803654</v>
      </c>
      <c r="M329">
        <f t="shared" si="67"/>
        <v>-0.16610796019147375</v>
      </c>
      <c r="N329" s="15">
        <v>6.2200000000000005E-4</v>
      </c>
      <c r="O329" s="8">
        <f>(I329 - MAX(I242:I329)) / MAX(I242:I329)</f>
        <v>-0.66671283152136274</v>
      </c>
      <c r="P329" s="15">
        <v>-2.5499999999999998E-2</v>
      </c>
      <c r="Q329">
        <f t="shared" si="68"/>
        <v>0.48460074810412851</v>
      </c>
      <c r="R329">
        <f t="shared" si="69"/>
        <v>-1.1197330314591516E-2</v>
      </c>
      <c r="S329" s="15">
        <f t="shared" si="70"/>
        <v>7.5890062851968296E-2</v>
      </c>
    </row>
    <row r="330" spans="1:19" x14ac:dyDescent="0.3">
      <c r="A330" s="2">
        <v>44682</v>
      </c>
      <c r="B330">
        <v>2022</v>
      </c>
      <c r="C330">
        <v>5</v>
      </c>
      <c r="D330" s="5" t="s">
        <v>9</v>
      </c>
      <c r="E330" t="s">
        <v>17</v>
      </c>
      <c r="F330" t="s">
        <v>18</v>
      </c>
      <c r="G330" t="s">
        <v>19</v>
      </c>
      <c r="H330" t="s">
        <v>22</v>
      </c>
      <c r="I330">
        <v>10.374000000000001</v>
      </c>
      <c r="J330" s="8">
        <f t="shared" si="65"/>
        <v>7.7706212341575015E-2</v>
      </c>
      <c r="K330" s="8">
        <f t="shared" si="66"/>
        <v>-0.53477734427552792</v>
      </c>
      <c r="L330">
        <f t="shared" si="71"/>
        <v>7.6912212341575012E-2</v>
      </c>
      <c r="M330">
        <f t="shared" si="67"/>
        <v>-0.13304205452400056</v>
      </c>
      <c r="N330" s="15">
        <v>7.94E-4</v>
      </c>
      <c r="O330" s="8">
        <f>(I330 - MAX(I242:I330)) / MAX(I242:I330)</f>
        <v>-0.64081434803683957</v>
      </c>
      <c r="P330" s="15">
        <v>-3.5999999999999999E-3</v>
      </c>
      <c r="Q330">
        <f t="shared" si="68"/>
        <v>0.4157732070131045</v>
      </c>
      <c r="R330">
        <f t="shared" si="69"/>
        <v>-8.4876921343260952E-3</v>
      </c>
      <c r="S330" s="15">
        <f t="shared" si="70"/>
        <v>7.8318741553517909E-2</v>
      </c>
    </row>
    <row r="331" spans="1:19" x14ac:dyDescent="0.3">
      <c r="A331" s="2">
        <v>44713</v>
      </c>
      <c r="B331">
        <v>2022</v>
      </c>
      <c r="C331">
        <v>6</v>
      </c>
      <c r="D331" s="5" t="s">
        <v>9</v>
      </c>
      <c r="E331" t="s">
        <v>17</v>
      </c>
      <c r="F331" t="s">
        <v>18</v>
      </c>
      <c r="G331" t="s">
        <v>19</v>
      </c>
      <c r="H331" t="s">
        <v>22</v>
      </c>
      <c r="I331">
        <v>8.3179999999999996</v>
      </c>
      <c r="J331" s="8">
        <f t="shared" si="65"/>
        <v>-0.19818777713514563</v>
      </c>
      <c r="K331" s="8">
        <f t="shared" si="66"/>
        <v>-0.62697878828647013</v>
      </c>
      <c r="L331">
        <f t="shared" si="71"/>
        <v>-0.19939177713514564</v>
      </c>
      <c r="M331">
        <f t="shared" si="67"/>
        <v>-0.20343408440732044</v>
      </c>
      <c r="N331" s="15">
        <v>1.204E-3</v>
      </c>
      <c r="O331" s="8">
        <f>(I331 - MAX(I242:I331)) / MAX(I242:I331)</f>
        <v>-0.71200055397825635</v>
      </c>
      <c r="P331" s="15">
        <v>-8.8200000000000001E-2</v>
      </c>
      <c r="Q331">
        <f t="shared" si="68"/>
        <v>1.0463117195976177</v>
      </c>
      <c r="R331">
        <f t="shared" si="69"/>
        <v>-5.6024321932761859E-3</v>
      </c>
      <c r="S331" s="15">
        <f t="shared" si="70"/>
        <v>9.2475363033997796E-2</v>
      </c>
    </row>
    <row r="332" spans="1:19" x14ac:dyDescent="0.3">
      <c r="A332" s="2">
        <v>44743</v>
      </c>
      <c r="B332">
        <v>2022</v>
      </c>
      <c r="C332">
        <v>7</v>
      </c>
      <c r="D332" s="5" t="s">
        <v>9</v>
      </c>
      <c r="E332" t="s">
        <v>17</v>
      </c>
      <c r="F332" t="s">
        <v>18</v>
      </c>
      <c r="G332" t="s">
        <v>19</v>
      </c>
      <c r="H332" t="s">
        <v>22</v>
      </c>
      <c r="I332">
        <v>8.5259999999999998</v>
      </c>
      <c r="J332" s="8">
        <f t="shared" si="65"/>
        <v>2.5006011060351069E-2</v>
      </c>
      <c r="K332" s="8">
        <f t="shared" si="66"/>
        <v>-0.61765101574061609</v>
      </c>
      <c r="L332">
        <f t="shared" si="71"/>
        <v>2.4104011060351069E-2</v>
      </c>
      <c r="M332">
        <f t="shared" si="67"/>
        <v>-0.15389413445966851</v>
      </c>
      <c r="N332" s="15">
        <v>9.0200000000000002E-4</v>
      </c>
      <c r="O332" s="8">
        <f>(I332 - MAX(I242:I332)) / MAX(I242:I332)</f>
        <v>-0.70479883664566167</v>
      </c>
      <c r="P332" s="15">
        <v>7.3300000000000004E-2</v>
      </c>
      <c r="Q332">
        <f t="shared" si="68"/>
        <v>0.92761032921815589</v>
      </c>
      <c r="R332">
        <f t="shared" si="69"/>
        <v>-7.7238445505090529E-3</v>
      </c>
      <c r="S332" s="15">
        <f t="shared" si="70"/>
        <v>9.3228319291985717E-2</v>
      </c>
    </row>
    <row r="333" spans="1:19" x14ac:dyDescent="0.3">
      <c r="A333" s="2">
        <v>44774</v>
      </c>
      <c r="B333">
        <v>2022</v>
      </c>
      <c r="C333">
        <v>8</v>
      </c>
      <c r="D333" s="5" t="s">
        <v>9</v>
      </c>
      <c r="E333" t="s">
        <v>17</v>
      </c>
      <c r="F333" t="s">
        <v>18</v>
      </c>
      <c r="G333" t="s">
        <v>19</v>
      </c>
      <c r="H333" t="s">
        <v>22</v>
      </c>
      <c r="I333">
        <v>8.3230000000000004</v>
      </c>
      <c r="J333" s="8">
        <f t="shared" si="65"/>
        <v>-2.3809523809523739E-2</v>
      </c>
      <c r="K333" s="8">
        <f t="shared" si="66"/>
        <v>-0.62675456298488719</v>
      </c>
      <c r="L333">
        <f t="shared" si="71"/>
        <v>-2.467152380952374E-2</v>
      </c>
      <c r="M333">
        <f t="shared" si="67"/>
        <v>-0.16537809577353538</v>
      </c>
      <c r="N333" s="15">
        <v>8.6200000000000003E-4</v>
      </c>
      <c r="O333" s="8">
        <f>(I333 - MAX(I242:I333)) / MAX(I242:I333)</f>
        <v>-0.71182743577314589</v>
      </c>
      <c r="P333" s="15">
        <v>-5.1499999999999997E-2</v>
      </c>
      <c r="Q333">
        <f t="shared" si="68"/>
        <v>0.92529638068217157</v>
      </c>
      <c r="R333">
        <f t="shared" si="69"/>
        <v>-2.7249103376636649E-3</v>
      </c>
      <c r="S333" s="15">
        <f t="shared" si="70"/>
        <v>9.3266387850355875E-2</v>
      </c>
    </row>
    <row r="334" spans="1:19" x14ac:dyDescent="0.3">
      <c r="A334" s="2">
        <v>44805</v>
      </c>
      <c r="B334">
        <v>2022</v>
      </c>
      <c r="C334">
        <v>9</v>
      </c>
      <c r="D334" s="5" t="s">
        <v>9</v>
      </c>
      <c r="E334" t="s">
        <v>17</v>
      </c>
      <c r="F334" t="s">
        <v>18</v>
      </c>
      <c r="G334" t="s">
        <v>19</v>
      </c>
      <c r="H334" t="s">
        <v>22</v>
      </c>
      <c r="I334">
        <v>7.6459999999999999</v>
      </c>
      <c r="J334" s="8">
        <f t="shared" si="65"/>
        <v>-8.1340862669710495E-2</v>
      </c>
      <c r="K334" s="8">
        <f t="shared" si="66"/>
        <v>-0.65711466881922953</v>
      </c>
      <c r="L334">
        <f t="shared" si="71"/>
        <v>-8.2836862669710493E-2</v>
      </c>
      <c r="M334">
        <f t="shared" si="67"/>
        <v>-0.28452563910869083</v>
      </c>
      <c r="N334" s="15">
        <v>1.4959999999999999E-3</v>
      </c>
      <c r="O334" s="8">
        <f>(I334 - MAX(I242:I334)) / MAX(I242:I334)</f>
        <v>-0.73526764074510076</v>
      </c>
      <c r="P334" s="15">
        <v>-5.6599999999999998E-2</v>
      </c>
      <c r="Q334">
        <f t="shared" si="68"/>
        <v>1.0193251865347037</v>
      </c>
      <c r="R334">
        <f t="shared" si="69"/>
        <v>-1.0437465718611226E-2</v>
      </c>
      <c r="S334" s="15">
        <f t="shared" si="70"/>
        <v>9.2748443915943946E-2</v>
      </c>
    </row>
    <row r="335" spans="1:19" x14ac:dyDescent="0.3">
      <c r="A335" s="2">
        <v>44835</v>
      </c>
      <c r="B335">
        <v>2022</v>
      </c>
      <c r="C335">
        <v>10</v>
      </c>
      <c r="D335" s="5" t="s">
        <v>9</v>
      </c>
      <c r="E335" t="s">
        <v>17</v>
      </c>
      <c r="F335" t="s">
        <v>18</v>
      </c>
      <c r="G335" t="s">
        <v>19</v>
      </c>
      <c r="H335" t="s">
        <v>22</v>
      </c>
      <c r="I335">
        <v>9.66</v>
      </c>
      <c r="J335" s="8">
        <f t="shared" si="65"/>
        <v>0.26340570232801469</v>
      </c>
      <c r="K335" s="8">
        <f t="shared" si="66"/>
        <v>-0.56679671734158477</v>
      </c>
      <c r="L335">
        <f t="shared" si="71"/>
        <v>0.2615837023280147</v>
      </c>
      <c r="M335">
        <f t="shared" si="67"/>
        <v>-4.3382512465683178E-2</v>
      </c>
      <c r="N335" s="15">
        <v>1.8220000000000001E-3</v>
      </c>
      <c r="O335" s="8">
        <f>(I335 - MAX(I242:I335)) / MAX(I242:I335)</f>
        <v>-0.66553562772661179</v>
      </c>
      <c r="P335" s="15">
        <v>9.0200000000000002E-2</v>
      </c>
      <c r="Q335">
        <f t="shared" si="68"/>
        <v>1.5845966851369808</v>
      </c>
      <c r="R335">
        <f t="shared" si="69"/>
        <v>1.4332457738958356E-2</v>
      </c>
      <c r="S335" s="15">
        <f t="shared" si="70"/>
        <v>0.12493974834169536</v>
      </c>
    </row>
    <row r="336" spans="1:19" x14ac:dyDescent="0.3">
      <c r="A336" s="2">
        <v>44866</v>
      </c>
      <c r="B336">
        <v>2022</v>
      </c>
      <c r="C336">
        <v>11</v>
      </c>
      <c r="D336" s="5" t="s">
        <v>9</v>
      </c>
      <c r="E336" t="s">
        <v>17</v>
      </c>
      <c r="F336" t="s">
        <v>18</v>
      </c>
      <c r="G336" t="s">
        <v>19</v>
      </c>
      <c r="H336" t="s">
        <v>22</v>
      </c>
      <c r="I336">
        <v>10.122</v>
      </c>
      <c r="J336" s="8">
        <f t="shared" si="65"/>
        <v>4.7826086956521713E-2</v>
      </c>
      <c r="K336" s="8">
        <f t="shared" si="66"/>
        <v>-0.54607829947531283</v>
      </c>
      <c r="L336">
        <f t="shared" si="71"/>
        <v>4.6104086956521712E-2</v>
      </c>
      <c r="M336">
        <f t="shared" si="67"/>
        <v>1.6250167135485476E-2</v>
      </c>
      <c r="N336" s="15">
        <v>1.722E-3</v>
      </c>
      <c r="O336" s="8">
        <f>(I336 - MAX(I242:I336)) / MAX(I242:I336)</f>
        <v>-0.64953950557440621</v>
      </c>
      <c r="P336" s="15">
        <v>9.6000000000000002E-2</v>
      </c>
      <c r="Q336">
        <f t="shared" si="68"/>
        <v>1.3446925224194914</v>
      </c>
      <c r="R336">
        <f t="shared" si="69"/>
        <v>3.3187254028252634E-3</v>
      </c>
      <c r="S336" s="15">
        <f t="shared" si="70"/>
        <v>0.12514625636016788</v>
      </c>
    </row>
    <row r="337" spans="1:19" x14ac:dyDescent="0.3">
      <c r="A337" s="2">
        <v>44896</v>
      </c>
      <c r="B337">
        <v>2022</v>
      </c>
      <c r="C337">
        <v>12</v>
      </c>
      <c r="D337" s="5" t="s">
        <v>9</v>
      </c>
      <c r="E337" t="s">
        <v>17</v>
      </c>
      <c r="F337" t="s">
        <v>18</v>
      </c>
      <c r="G337" t="s">
        <v>19</v>
      </c>
      <c r="H337" t="s">
        <v>22</v>
      </c>
      <c r="I337">
        <v>10.587999999999999</v>
      </c>
      <c r="J337" s="8">
        <f t="shared" si="65"/>
        <v>4.6038332345386221E-2</v>
      </c>
      <c r="K337" s="8">
        <f t="shared" si="66"/>
        <v>-0.52518050136777439</v>
      </c>
      <c r="L337">
        <f t="shared" si="71"/>
        <v>4.4300332345386217E-2</v>
      </c>
      <c r="M337">
        <f t="shared" si="67"/>
        <v>2.3112424142909059E-2</v>
      </c>
      <c r="N337" s="15">
        <v>1.738E-3</v>
      </c>
      <c r="O337" s="8">
        <f>(I337 - MAX(I242:I337)) / MAX(I242:I337)</f>
        <v>-0.63340488885811241</v>
      </c>
      <c r="P337" s="15">
        <v>-4.3200000000000002E-2</v>
      </c>
      <c r="Q337">
        <f t="shared" si="68"/>
        <v>1.3432408471358823</v>
      </c>
      <c r="R337">
        <f t="shared" si="69"/>
        <v>1.5943591383707323E-2</v>
      </c>
      <c r="S337" s="15">
        <f t="shared" si="70"/>
        <v>0.12547585314559406</v>
      </c>
    </row>
    <row r="338" spans="1:19" x14ac:dyDescent="0.3">
      <c r="A338" s="2">
        <v>44927</v>
      </c>
      <c r="B338">
        <v>2023</v>
      </c>
      <c r="C338">
        <v>1</v>
      </c>
      <c r="D338" s="5" t="s">
        <v>9</v>
      </c>
      <c r="E338" t="s">
        <v>17</v>
      </c>
      <c r="F338" t="s">
        <v>18</v>
      </c>
      <c r="G338" t="s">
        <v>19</v>
      </c>
      <c r="H338" t="s">
        <v>22</v>
      </c>
      <c r="I338">
        <v>12.208</v>
      </c>
      <c r="J338" s="8">
        <f t="shared" si="65"/>
        <v>0.15300340007555735</v>
      </c>
      <c r="K338" s="8">
        <f t="shared" si="66"/>
        <v>-0.45253150365487238</v>
      </c>
      <c r="L338">
        <f t="shared" si="71"/>
        <v>0.15117640007555735</v>
      </c>
      <c r="M338">
        <f t="shared" si="67"/>
        <v>4.7544585661176086E-2</v>
      </c>
      <c r="N338" s="15">
        <v>1.8270000000000001E-3</v>
      </c>
      <c r="O338" s="8">
        <f>(I338 - MAX(I242:I338)) / MAX(I242:I338)</f>
        <v>-0.57731459040232669</v>
      </c>
      <c r="P338" s="15">
        <v>9.7500000000000003E-2</v>
      </c>
      <c r="Q338">
        <f t="shared" si="68"/>
        <v>1.4407924183214076</v>
      </c>
      <c r="R338">
        <f t="shared" si="69"/>
        <v>4.9949946967721487E-3</v>
      </c>
      <c r="S338" s="15">
        <f t="shared" si="70"/>
        <v>0.12917865010939297</v>
      </c>
    </row>
    <row r="339" spans="1:19" x14ac:dyDescent="0.3">
      <c r="A339" s="2">
        <v>44958</v>
      </c>
      <c r="B339">
        <v>2023</v>
      </c>
      <c r="C339">
        <v>2</v>
      </c>
      <c r="D339" s="5" t="s">
        <v>9</v>
      </c>
      <c r="E339" t="s">
        <v>17</v>
      </c>
      <c r="F339" t="s">
        <v>18</v>
      </c>
      <c r="G339" t="s">
        <v>19</v>
      </c>
      <c r="H339" t="s">
        <v>22</v>
      </c>
      <c r="I339">
        <v>11.8</v>
      </c>
      <c r="J339" s="8">
        <f t="shared" ref="J339:J370" si="72">(I339-I338)/I338</f>
        <v>-3.3420707732634294E-2</v>
      </c>
      <c r="K339" s="8">
        <f t="shared" ref="K339:K370" si="73">(K338+1)*(J339+1)-1</f>
        <v>-0.47082828826404766</v>
      </c>
      <c r="L339">
        <f t="shared" si="71"/>
        <v>-3.5395707732634292E-2</v>
      </c>
      <c r="M339">
        <f t="shared" si="67"/>
        <v>7.8488039816126912E-2</v>
      </c>
      <c r="N339" s="15">
        <v>1.9750000000000002E-3</v>
      </c>
      <c r="O339" s="8">
        <f>(I339 - MAX(I242:I339)) / MAX(I242:I339)</f>
        <v>-0.59144103593933939</v>
      </c>
      <c r="P339" s="15">
        <v>1.7999999999999999E-2</v>
      </c>
      <c r="Q339">
        <f t="shared" si="68"/>
        <v>1.4291857116784976</v>
      </c>
      <c r="R339">
        <f t="shared" si="69"/>
        <v>-2.4466979130797345E-4</v>
      </c>
      <c r="S339" s="15">
        <f t="shared" si="70"/>
        <v>0.12692656471495939</v>
      </c>
    </row>
    <row r="340" spans="1:19" x14ac:dyDescent="0.3">
      <c r="A340" s="2">
        <v>44986</v>
      </c>
      <c r="B340">
        <v>2023</v>
      </c>
      <c r="C340">
        <v>3</v>
      </c>
      <c r="D340" s="5" t="s">
        <v>9</v>
      </c>
      <c r="E340" t="s">
        <v>17</v>
      </c>
      <c r="F340" t="s">
        <v>18</v>
      </c>
      <c r="G340" t="s">
        <v>19</v>
      </c>
      <c r="H340" t="s">
        <v>22</v>
      </c>
      <c r="I340">
        <v>9.3559999999999999</v>
      </c>
      <c r="J340" s="8">
        <f t="shared" si="72"/>
        <v>-0.20711864406779668</v>
      </c>
      <c r="K340" s="8">
        <f t="shared" si="73"/>
        <v>-0.58042961567783302</v>
      </c>
      <c r="L340">
        <f t="shared" si="71"/>
        <v>-0.20910464406779666</v>
      </c>
      <c r="M340">
        <f t="shared" si="67"/>
        <v>-6.5659362087592307E-2</v>
      </c>
      <c r="N340" s="15">
        <v>1.9859999999999999E-3</v>
      </c>
      <c r="O340" s="8">
        <f>(I340 - MAX(I242:I340)) / MAX(I242:I340)</f>
        <v>-0.67606121459732715</v>
      </c>
      <c r="P340" s="15">
        <v>1.8100000000000002E-2</v>
      </c>
      <c r="Q340">
        <f t="shared" si="68"/>
        <v>1.4018806339847982</v>
      </c>
      <c r="R340">
        <f t="shared" si="69"/>
        <v>-2.1858148812542201E-2</v>
      </c>
      <c r="S340" s="15">
        <f t="shared" si="70"/>
        <v>0.14154559738267244</v>
      </c>
    </row>
    <row r="341" spans="1:19" x14ac:dyDescent="0.3">
      <c r="A341" s="2">
        <v>45017</v>
      </c>
      <c r="B341">
        <v>2023</v>
      </c>
      <c r="C341">
        <v>4</v>
      </c>
      <c r="D341" s="5" t="s">
        <v>9</v>
      </c>
      <c r="E341" t="s">
        <v>17</v>
      </c>
      <c r="F341" t="s">
        <v>18</v>
      </c>
      <c r="G341" t="s">
        <v>19</v>
      </c>
      <c r="H341" t="s">
        <v>22</v>
      </c>
      <c r="I341">
        <v>9.9429999999999996</v>
      </c>
      <c r="J341" s="8">
        <f t="shared" si="72"/>
        <v>6.274048738777252E-2</v>
      </c>
      <c r="K341" s="8">
        <f t="shared" si="73"/>
        <v>-0.55410556527198518</v>
      </c>
      <c r="L341">
        <f t="shared" si="71"/>
        <v>6.0774487387772518E-2</v>
      </c>
      <c r="M341">
        <f t="shared" si="67"/>
        <v>7.0742023360781767E-2</v>
      </c>
      <c r="N341" s="15">
        <v>1.9659999999999999E-3</v>
      </c>
      <c r="O341" s="8">
        <f>(I341 - MAX(I242:I341)) / MAX(I242:I341)</f>
        <v>-0.65573713731736027</v>
      </c>
      <c r="P341" s="15">
        <v>1.03E-2</v>
      </c>
      <c r="Q341">
        <f t="shared" si="68"/>
        <v>1.308781359442073</v>
      </c>
      <c r="R341">
        <f t="shared" si="69"/>
        <v>-6.0250073873802743E-3</v>
      </c>
      <c r="S341" s="15">
        <f t="shared" si="70"/>
        <v>0.1337662204227639</v>
      </c>
    </row>
    <row r="342" spans="1:19" x14ac:dyDescent="0.3">
      <c r="A342" s="2">
        <v>45047</v>
      </c>
      <c r="B342">
        <v>2023</v>
      </c>
      <c r="C342">
        <v>5</v>
      </c>
      <c r="D342" s="5" t="s">
        <v>9</v>
      </c>
      <c r="E342" t="s">
        <v>17</v>
      </c>
      <c r="F342" t="s">
        <v>18</v>
      </c>
      <c r="G342" t="s">
        <v>19</v>
      </c>
      <c r="H342" t="s">
        <v>22</v>
      </c>
      <c r="I342">
        <v>9.4760000000000009</v>
      </c>
      <c r="J342" s="8">
        <f t="shared" si="72"/>
        <v>-4.6967715981092104E-2</v>
      </c>
      <c r="K342" s="8">
        <f t="shared" si="73"/>
        <v>-0.57504820843984017</v>
      </c>
      <c r="L342">
        <f t="shared" si="71"/>
        <v>-4.8919715981092106E-2</v>
      </c>
      <c r="M342">
        <f t="shared" si="67"/>
        <v>-7.6952469552095046E-3</v>
      </c>
      <c r="N342" s="15">
        <v>1.952E-3</v>
      </c>
      <c r="O342" s="8">
        <f>(I342 - MAX(I242:I342)) / MAX(I242:I342)</f>
        <v>-0.6719063776746762</v>
      </c>
      <c r="P342" s="15">
        <v>-3.2400000000000012E-2</v>
      </c>
      <c r="Q342">
        <f t="shared" si="68"/>
        <v>1.3339511916400726</v>
      </c>
      <c r="R342">
        <f t="shared" si="69"/>
        <v>-1.347864786359885E-2</v>
      </c>
      <c r="S342" s="15">
        <f t="shared" si="70"/>
        <v>0.13295232015467198</v>
      </c>
    </row>
    <row r="343" spans="1:19" x14ac:dyDescent="0.3">
      <c r="A343" s="2">
        <v>45078</v>
      </c>
      <c r="B343">
        <v>2023</v>
      </c>
      <c r="C343">
        <v>6</v>
      </c>
      <c r="D343" s="5" t="s">
        <v>9</v>
      </c>
      <c r="E343" t="s">
        <v>17</v>
      </c>
      <c r="F343" t="s">
        <v>18</v>
      </c>
      <c r="G343" t="s">
        <v>19</v>
      </c>
      <c r="H343" t="s">
        <v>22</v>
      </c>
      <c r="I343">
        <v>9.6180000000000003</v>
      </c>
      <c r="J343" s="8">
        <f t="shared" si="72"/>
        <v>1.4985225833685041E-2</v>
      </c>
      <c r="K343" s="8">
        <f t="shared" si="73"/>
        <v>-0.5686802098748821</v>
      </c>
      <c r="L343">
        <f t="shared" si="71"/>
        <v>1.300522583368504E-2</v>
      </c>
      <c r="M343">
        <f t="shared" si="67"/>
        <v>0.14217483127100675</v>
      </c>
      <c r="N343" s="15">
        <v>1.98E-3</v>
      </c>
      <c r="O343" s="8">
        <f>(I343 - MAX(I242:I343)) / MAX(I242:I343)</f>
        <v>-0.6669898206495396</v>
      </c>
      <c r="P343" s="15">
        <v>4.2900000000000001E-2</v>
      </c>
      <c r="Q343">
        <f t="shared" si="68"/>
        <v>1.1248580684145748</v>
      </c>
      <c r="R343">
        <f t="shared" si="69"/>
        <v>-6.0428590026038419E-3</v>
      </c>
      <c r="S343" s="15">
        <f t="shared" si="70"/>
        <v>0.11729677581790869</v>
      </c>
    </row>
    <row r="344" spans="1:19" x14ac:dyDescent="0.3">
      <c r="A344" s="2">
        <v>45108</v>
      </c>
      <c r="B344">
        <v>2023</v>
      </c>
      <c r="C344">
        <v>7</v>
      </c>
      <c r="D344" s="5" t="s">
        <v>9</v>
      </c>
      <c r="E344" t="s">
        <v>17</v>
      </c>
      <c r="F344" t="s">
        <v>18</v>
      </c>
      <c r="G344" t="s">
        <v>19</v>
      </c>
      <c r="H344" t="s">
        <v>22</v>
      </c>
      <c r="I344">
        <v>10.08</v>
      </c>
      <c r="J344" s="8">
        <f t="shared" si="72"/>
        <v>4.8034934497816567E-2</v>
      </c>
      <c r="K344" s="8">
        <f t="shared" si="73"/>
        <v>-0.54796179200861006</v>
      </c>
      <c r="L344">
        <f t="shared" si="71"/>
        <v>4.5987934497816567E-2</v>
      </c>
      <c r="M344">
        <f t="shared" si="67"/>
        <v>0.15731109007859903</v>
      </c>
      <c r="N344" s="15">
        <v>2.0470000000000002E-3</v>
      </c>
      <c r="O344" s="8">
        <f>(I344 - MAX(I242:I344)) / MAX(I242:I344)</f>
        <v>-0.65099369849733391</v>
      </c>
      <c r="P344" s="15">
        <v>1.6400000000000001E-2</v>
      </c>
      <c r="Q344">
        <f t="shared" si="68"/>
        <v>1.2063057718105397</v>
      </c>
      <c r="R344">
        <f t="shared" si="69"/>
        <v>-2.9250736377044173E-5</v>
      </c>
      <c r="S344" s="15">
        <f t="shared" si="70"/>
        <v>0.11760333990283982</v>
      </c>
    </row>
    <row r="345" spans="1:19" x14ac:dyDescent="0.3">
      <c r="A345" s="2">
        <v>45139</v>
      </c>
      <c r="B345">
        <v>2023</v>
      </c>
      <c r="C345">
        <v>8</v>
      </c>
      <c r="D345" s="5" t="s">
        <v>9</v>
      </c>
      <c r="E345" t="s">
        <v>17</v>
      </c>
      <c r="F345" t="s">
        <v>18</v>
      </c>
      <c r="G345" t="s">
        <v>19</v>
      </c>
      <c r="H345" t="s">
        <v>22</v>
      </c>
      <c r="I345">
        <v>10.052</v>
      </c>
      <c r="J345" s="8">
        <f t="shared" si="72"/>
        <v>-2.7777777777778243E-3</v>
      </c>
      <c r="K345" s="8">
        <f t="shared" si="73"/>
        <v>-0.5492174536974751</v>
      </c>
      <c r="L345">
        <f t="shared" si="71"/>
        <v>-4.8987777777778248E-3</v>
      </c>
      <c r="M345">
        <f t="shared" si="67"/>
        <v>0.1721438163629187</v>
      </c>
      <c r="N345" s="15">
        <v>2.1210000000000001E-3</v>
      </c>
      <c r="O345" s="8">
        <f>(I345 - MAX(I242:I345)) / MAX(I242:I345)</f>
        <v>-0.65196316044595248</v>
      </c>
      <c r="P345" s="15">
        <v>-3.9E-2</v>
      </c>
      <c r="Q345">
        <f t="shared" si="68"/>
        <v>1.2106021258751576</v>
      </c>
      <c r="R345">
        <f t="shared" si="69"/>
        <v>4.1845205354915788E-4</v>
      </c>
      <c r="S345" s="15">
        <f t="shared" si="70"/>
        <v>0.11704189472889265</v>
      </c>
    </row>
    <row r="346" spans="1:19" x14ac:dyDescent="0.3">
      <c r="A346" s="2">
        <v>45170</v>
      </c>
      <c r="B346">
        <v>2023</v>
      </c>
      <c r="C346">
        <v>9</v>
      </c>
      <c r="D346" s="5" t="s">
        <v>9</v>
      </c>
      <c r="E346" t="s">
        <v>17</v>
      </c>
      <c r="F346" t="s">
        <v>18</v>
      </c>
      <c r="G346" t="s">
        <v>19</v>
      </c>
      <c r="H346" t="s">
        <v>22</v>
      </c>
      <c r="I346">
        <v>10.45</v>
      </c>
      <c r="J346" s="8">
        <f t="shared" si="72"/>
        <v>3.9594110624751266E-2</v>
      </c>
      <c r="K346" s="8">
        <f t="shared" si="73"/>
        <v>-0.53136911969146583</v>
      </c>
      <c r="L346">
        <f t="shared" si="71"/>
        <v>3.7376110624751269E-2</v>
      </c>
      <c r="M346">
        <f t="shared" si="67"/>
        <v>0.26826432898798463</v>
      </c>
      <c r="N346" s="15">
        <v>2.2179999999999999E-3</v>
      </c>
      <c r="O346" s="8">
        <f>(I346 - MAX(I242:I346)) / MAX(I242:I346)</f>
        <v>-0.63818295131916081</v>
      </c>
      <c r="P346" s="15">
        <v>-2.8500000000000001E-2</v>
      </c>
      <c r="Q346">
        <f t="shared" si="68"/>
        <v>1.0561209229584085</v>
      </c>
      <c r="R346">
        <f t="shared" si="69"/>
        <v>1.0544291600026602E-2</v>
      </c>
      <c r="S346" s="15">
        <f t="shared" si="70"/>
        <v>0.11244799605417592</v>
      </c>
    </row>
    <row r="347" spans="1:19" x14ac:dyDescent="0.3">
      <c r="A347" s="2">
        <v>45200</v>
      </c>
      <c r="B347">
        <v>2023</v>
      </c>
      <c r="C347">
        <v>10</v>
      </c>
      <c r="D347" s="5" t="s">
        <v>9</v>
      </c>
      <c r="E347" t="s">
        <v>17</v>
      </c>
      <c r="F347" t="s">
        <v>18</v>
      </c>
      <c r="G347" t="s">
        <v>19</v>
      </c>
      <c r="H347" t="s">
        <v>22</v>
      </c>
      <c r="I347">
        <v>10.356</v>
      </c>
      <c r="J347" s="8">
        <f t="shared" si="72"/>
        <v>-8.9952153110047298E-3</v>
      </c>
      <c r="K347" s="8">
        <f t="shared" si="73"/>
        <v>-0.53558455536122684</v>
      </c>
      <c r="L347">
        <f t="shared" si="71"/>
        <v>-1.1348215311004731E-2</v>
      </c>
      <c r="M347">
        <f t="shared" si="67"/>
        <v>8.6432377348311093E-2</v>
      </c>
      <c r="N347" s="15">
        <v>2.3530000000000001E-3</v>
      </c>
      <c r="O347" s="8">
        <f>(I347 - MAX(I242:I347)) / MAX(I242:I347)</f>
        <v>-0.64143757357523723</v>
      </c>
      <c r="P347" s="15">
        <v>-2.7199999999999998E-2</v>
      </c>
      <c r="Q347">
        <f t="shared" si="68"/>
        <v>0.56425012137044217</v>
      </c>
      <c r="R347">
        <f t="shared" si="69"/>
        <v>2.483565862955674E-3</v>
      </c>
      <c r="S347" s="15">
        <f t="shared" si="70"/>
        <v>8.5864348121436604E-2</v>
      </c>
    </row>
    <row r="348" spans="1:19" x14ac:dyDescent="0.3">
      <c r="A348" s="2">
        <v>45231</v>
      </c>
      <c r="B348">
        <v>2023</v>
      </c>
      <c r="C348">
        <v>11</v>
      </c>
      <c r="D348" s="5" t="s">
        <v>9</v>
      </c>
      <c r="E348" t="s">
        <v>17</v>
      </c>
      <c r="F348" t="s">
        <v>18</v>
      </c>
      <c r="G348" t="s">
        <v>19</v>
      </c>
      <c r="H348" t="s">
        <v>22</v>
      </c>
      <c r="I348">
        <v>11.426</v>
      </c>
      <c r="J348" s="8">
        <f t="shared" si="72"/>
        <v>0.10332174584781773</v>
      </c>
      <c r="K348" s="8">
        <f t="shared" si="73"/>
        <v>-0.48760034082245829</v>
      </c>
      <c r="L348">
        <f t="shared" si="71"/>
        <v>0.10115374584781772</v>
      </c>
      <c r="M348">
        <f t="shared" si="67"/>
        <v>0.13412202715314733</v>
      </c>
      <c r="N348" s="15">
        <v>2.1679999999999998E-3</v>
      </c>
      <c r="O348" s="8">
        <f>(I348 - MAX(I242:I348)) / MAX(I242:I348)</f>
        <v>-0.60439027768160103</v>
      </c>
      <c r="P348" s="15">
        <v>7.9100000000000004E-2</v>
      </c>
      <c r="Q348">
        <f t="shared" si="68"/>
        <v>0.7636588413689166</v>
      </c>
      <c r="R348">
        <f t="shared" si="69"/>
        <v>6.429830731542463E-3</v>
      </c>
      <c r="S348" s="15">
        <f t="shared" si="70"/>
        <v>8.9537353160946617E-2</v>
      </c>
    </row>
    <row r="349" spans="1:19" x14ac:dyDescent="0.3">
      <c r="A349" s="2">
        <v>45261</v>
      </c>
      <c r="B349">
        <v>2023</v>
      </c>
      <c r="C349">
        <v>12</v>
      </c>
      <c r="D349" s="5" t="s">
        <v>9</v>
      </c>
      <c r="E349" t="s">
        <v>17</v>
      </c>
      <c r="F349" t="s">
        <v>18</v>
      </c>
      <c r="G349" t="s">
        <v>19</v>
      </c>
      <c r="H349" t="s">
        <v>22</v>
      </c>
      <c r="I349">
        <v>12.333</v>
      </c>
      <c r="J349" s="8">
        <f t="shared" si="72"/>
        <v>7.9380360581130752E-2</v>
      </c>
      <c r="K349" s="8">
        <f t="shared" si="73"/>
        <v>-0.44692587111529658</v>
      </c>
      <c r="L349">
        <f t="shared" si="71"/>
        <v>7.7628360581130748E-2</v>
      </c>
      <c r="M349">
        <f t="shared" ref="M349:M380" si="74">(AVERAGE(J338:J349)-AVERAGE(N338:N349))/STDEV(J338:J349)</f>
        <v>0.16226537942094688</v>
      </c>
      <c r="N349" s="15">
        <v>1.7520000000000001E-3</v>
      </c>
      <c r="O349" s="8">
        <f>(I349 - MAX(I242:I349)) / MAX(I242:I349)</f>
        <v>-0.57298663527456539</v>
      </c>
      <c r="P349" s="15">
        <v>3.1800000000000002E-2</v>
      </c>
      <c r="Q349">
        <f t="shared" ref="Q349:Q380" si="75" xml:space="preserve"> _xlfn.COVARIANCE.P(J338:J349, P338:P349) / _xlfn.VAR.P(P338:P349)</f>
        <v>1.0044653518897124</v>
      </c>
      <c r="R349">
        <f t="shared" ref="R349:R380" si="76">AVERAGE(J338:J349)-(AVERAGE(N338:N349)+Q349*(AVERAGE(P338:P349)-AVERAGE(N338:N349)))</f>
        <v>1.1711576805503721E-3</v>
      </c>
      <c r="S349" s="15">
        <f t="shared" ref="S349:S380" si="77">STDEV(J338:J349)</f>
        <v>9.1123978823770616E-2</v>
      </c>
    </row>
    <row r="350" spans="1:19" x14ac:dyDescent="0.3">
      <c r="A350" s="2">
        <v>45292</v>
      </c>
      <c r="B350">
        <v>2024</v>
      </c>
      <c r="C350">
        <v>1</v>
      </c>
      <c r="D350" s="5" t="s">
        <v>9</v>
      </c>
      <c r="E350" t="s">
        <v>17</v>
      </c>
      <c r="F350" t="s">
        <v>18</v>
      </c>
      <c r="G350" t="s">
        <v>19</v>
      </c>
      <c r="H350" t="s">
        <v>22</v>
      </c>
      <c r="I350">
        <v>12.034000000000001</v>
      </c>
      <c r="J350" s="8">
        <f t="shared" si="72"/>
        <v>-2.4243898483742761E-2</v>
      </c>
      <c r="K350" s="8">
        <f t="shared" si="73"/>
        <v>-0.46033454414996178</v>
      </c>
      <c r="L350">
        <f t="shared" si="71"/>
        <v>-2.6055898483742762E-2</v>
      </c>
      <c r="M350">
        <f t="shared" si="74"/>
        <v>2.0920183470454968E-4</v>
      </c>
      <c r="N350" s="15">
        <v>1.812E-3</v>
      </c>
      <c r="O350" s="8">
        <f>(I350 - MAX(I242:I350)) / MAX(I242:I350)</f>
        <v>-0.5833391039401703</v>
      </c>
      <c r="P350" s="15">
        <v>2.8000000000000001E-2</v>
      </c>
      <c r="Q350">
        <f t="shared" si="75"/>
        <v>0.59394590487738286</v>
      </c>
      <c r="R350">
        <f t="shared" si="76"/>
        <v>-4.5945862115416881E-3</v>
      </c>
      <c r="S350" s="15">
        <f t="shared" si="77"/>
        <v>8.0825222849209025E-2</v>
      </c>
    </row>
    <row r="351" spans="1:19" x14ac:dyDescent="0.3">
      <c r="A351" s="2">
        <v>45323</v>
      </c>
      <c r="B351">
        <v>2024</v>
      </c>
      <c r="C351">
        <v>2</v>
      </c>
      <c r="D351" s="5" t="s">
        <v>9</v>
      </c>
      <c r="E351" t="s">
        <v>17</v>
      </c>
      <c r="F351" t="s">
        <v>18</v>
      </c>
      <c r="G351" t="s">
        <v>19</v>
      </c>
      <c r="H351" t="s">
        <v>22</v>
      </c>
      <c r="I351">
        <v>12.362</v>
      </c>
      <c r="J351" s="8">
        <f t="shared" si="72"/>
        <v>2.7256107694864501E-2</v>
      </c>
      <c r="K351" s="8">
        <f t="shared" si="73"/>
        <v>-0.445625364366115</v>
      </c>
      <c r="L351">
        <f t="shared" si="71"/>
        <v>2.5313107694864501E-2</v>
      </c>
      <c r="M351">
        <f t="shared" si="74"/>
        <v>6.3211796350390356E-2</v>
      </c>
      <c r="N351" s="15">
        <v>1.9430000000000001E-3</v>
      </c>
      <c r="O351" s="8">
        <f>(I351 - MAX(I242:I351)) / MAX(I242:I351)</f>
        <v>-0.5719825496849249</v>
      </c>
      <c r="P351" s="15">
        <v>4.9299999999999997E-2</v>
      </c>
      <c r="Q351">
        <f t="shared" si="75"/>
        <v>0.61291755183048646</v>
      </c>
      <c r="R351">
        <f t="shared" si="76"/>
        <v>-1.2831450159645772E-3</v>
      </c>
      <c r="S351" s="15">
        <f t="shared" si="77"/>
        <v>8.0301099324330119E-2</v>
      </c>
    </row>
    <row r="352" spans="1:19" x14ac:dyDescent="0.3">
      <c r="A352" s="2">
        <v>45352</v>
      </c>
      <c r="B352">
        <v>2024</v>
      </c>
      <c r="C352">
        <v>3</v>
      </c>
      <c r="D352" s="5" t="s">
        <v>9</v>
      </c>
      <c r="E352" t="s">
        <v>17</v>
      </c>
      <c r="F352" t="s">
        <v>18</v>
      </c>
      <c r="G352" t="s">
        <v>19</v>
      </c>
      <c r="H352" t="s">
        <v>22</v>
      </c>
      <c r="I352">
        <v>14.582000000000001</v>
      </c>
      <c r="J352" s="8">
        <f t="shared" si="72"/>
        <v>0.17958259181362243</v>
      </c>
      <c r="K352" s="8">
        <f t="shared" si="73"/>
        <v>-0.34606933046324939</v>
      </c>
      <c r="L352">
        <f t="shared" si="71"/>
        <v>0.17762459181362245</v>
      </c>
      <c r="M352">
        <f t="shared" si="74"/>
        <v>0.60134495771907337</v>
      </c>
      <c r="N352" s="15">
        <v>1.9580000000000001E-3</v>
      </c>
      <c r="O352" s="8">
        <f>(I352 - MAX(I242:I352)) / MAX(I242:I352)</f>
        <v>-0.49511806661588531</v>
      </c>
      <c r="P352" s="15">
        <v>4.2199999999999988E-2</v>
      </c>
      <c r="Q352">
        <f t="shared" si="75"/>
        <v>0.92884011995498772</v>
      </c>
      <c r="R352">
        <f t="shared" si="76"/>
        <v>2.5798954141577804E-2</v>
      </c>
      <c r="S352" s="15">
        <f t="shared" si="77"/>
        <v>6.2033301488295542E-2</v>
      </c>
    </row>
    <row r="353" spans="1:19" x14ac:dyDescent="0.3">
      <c r="A353" s="2">
        <v>45383</v>
      </c>
      <c r="B353">
        <v>2024</v>
      </c>
      <c r="C353">
        <v>4</v>
      </c>
      <c r="D353" s="5" t="s">
        <v>9</v>
      </c>
      <c r="E353" t="s">
        <v>17</v>
      </c>
      <c r="F353" t="s">
        <v>18</v>
      </c>
      <c r="G353" t="s">
        <v>19</v>
      </c>
      <c r="H353" t="s">
        <v>22</v>
      </c>
      <c r="I353">
        <v>15.01</v>
      </c>
      <c r="J353" s="8">
        <f t="shared" si="72"/>
        <v>2.9351254971883078E-2</v>
      </c>
      <c r="K353" s="8">
        <f t="shared" si="73"/>
        <v>-0.32687564464774199</v>
      </c>
      <c r="L353">
        <f t="shared" si="71"/>
        <v>2.7313254971883076E-2</v>
      </c>
      <c r="M353">
        <f t="shared" si="74"/>
        <v>0.55998869942997431</v>
      </c>
      <c r="N353" s="15">
        <v>2.0379999999999999E-3</v>
      </c>
      <c r="O353" s="8">
        <f>(I353 - MAX(I242:I353)) / MAX(I242:I353)</f>
        <v>-0.4802991482584309</v>
      </c>
      <c r="P353" s="15">
        <v>-3.1899999999999998E-2</v>
      </c>
      <c r="Q353">
        <f t="shared" si="75"/>
        <v>0.85157746199572804</v>
      </c>
      <c r="R353">
        <f t="shared" si="76"/>
        <v>2.6967304050751026E-2</v>
      </c>
      <c r="S353" s="15">
        <f t="shared" si="77"/>
        <v>6.1635131318060109E-2</v>
      </c>
    </row>
    <row r="354" spans="1:19" x14ac:dyDescent="0.3">
      <c r="A354" s="2">
        <v>45413</v>
      </c>
      <c r="B354">
        <v>2024</v>
      </c>
      <c r="C354">
        <v>5</v>
      </c>
      <c r="D354" s="5" t="s">
        <v>9</v>
      </c>
      <c r="E354" t="s">
        <v>17</v>
      </c>
      <c r="F354" t="s">
        <v>18</v>
      </c>
      <c r="G354" t="s">
        <v>19</v>
      </c>
      <c r="H354" t="s">
        <v>22</v>
      </c>
      <c r="I354">
        <v>15.226000000000001</v>
      </c>
      <c r="J354" s="8">
        <f t="shared" si="72"/>
        <v>1.4390406395736247E-2</v>
      </c>
      <c r="K354" s="8">
        <f t="shared" si="73"/>
        <v>-0.31718911161935504</v>
      </c>
      <c r="L354">
        <f t="shared" si="71"/>
        <v>1.2290406395736248E-2</v>
      </c>
      <c r="M354">
        <f t="shared" si="74"/>
        <v>0.70240688329648726</v>
      </c>
      <c r="N354" s="15">
        <v>2.0999999999999999E-3</v>
      </c>
      <c r="O354" s="8">
        <f>(I354 - MAX(I242:I354)) / MAX(I242:I354)</f>
        <v>-0.47282044179765942</v>
      </c>
      <c r="P354" s="15">
        <v>1.2699999999999999E-2</v>
      </c>
      <c r="Q354">
        <f t="shared" si="75"/>
        <v>0.71771185942026516</v>
      </c>
      <c r="R354">
        <f t="shared" si="76"/>
        <v>3.0566072103325168E-2</v>
      </c>
      <c r="S354" s="15">
        <f t="shared" si="77"/>
        <v>5.6400102987995089E-2</v>
      </c>
    </row>
    <row r="355" spans="1:19" x14ac:dyDescent="0.3">
      <c r="A355" s="2">
        <v>45444</v>
      </c>
      <c r="B355">
        <v>2024</v>
      </c>
      <c r="C355">
        <v>6</v>
      </c>
      <c r="D355" s="5" t="s">
        <v>9</v>
      </c>
      <c r="E355" t="s">
        <v>17</v>
      </c>
      <c r="F355" t="s">
        <v>18</v>
      </c>
      <c r="G355" t="s">
        <v>19</v>
      </c>
      <c r="H355" t="s">
        <v>22</v>
      </c>
      <c r="I355">
        <v>14.907999999999999</v>
      </c>
      <c r="J355" s="8">
        <f t="shared" si="72"/>
        <v>-2.0885327728884892E-2</v>
      </c>
      <c r="K355" s="8">
        <f t="shared" si="73"/>
        <v>-0.33144984080003581</v>
      </c>
      <c r="L355">
        <f t="shared" si="71"/>
        <v>-2.2955327728884891E-2</v>
      </c>
      <c r="M355">
        <f t="shared" si="74"/>
        <v>0.62235060759392946</v>
      </c>
      <c r="N355" s="15">
        <v>2.0699999999999998E-3</v>
      </c>
      <c r="O355" s="8">
        <f>(I355 - MAX(I242:I355)) / MAX(I242:I355)</f>
        <v>-0.48383075964268407</v>
      </c>
      <c r="P355" s="15">
        <v>-1.7999999999999999E-2</v>
      </c>
      <c r="Q355">
        <f t="shared" si="75"/>
        <v>0.88281037234597648</v>
      </c>
      <c r="R355">
        <f t="shared" si="76"/>
        <v>2.9974488357993649E-2</v>
      </c>
      <c r="S355" s="15">
        <f t="shared" si="77"/>
        <v>5.8839996801948805E-2</v>
      </c>
    </row>
    <row r="356" spans="1:19" x14ac:dyDescent="0.3">
      <c r="A356" s="2">
        <v>45474</v>
      </c>
      <c r="B356">
        <v>2024</v>
      </c>
      <c r="C356">
        <v>7</v>
      </c>
      <c r="D356" s="5" t="s">
        <v>9</v>
      </c>
      <c r="E356" t="s">
        <v>17</v>
      </c>
      <c r="F356" t="s">
        <v>18</v>
      </c>
      <c r="G356" t="s">
        <v>19</v>
      </c>
      <c r="H356" t="s">
        <v>22</v>
      </c>
      <c r="I356">
        <v>14.436</v>
      </c>
      <c r="J356" s="8">
        <f t="shared" si="72"/>
        <v>-3.1660853233163373E-2</v>
      </c>
      <c r="K356" s="8">
        <f t="shared" si="73"/>
        <v>-0.35261670926947386</v>
      </c>
      <c r="L356">
        <f t="shared" si="71"/>
        <v>-3.3709853233163375E-2</v>
      </c>
      <c r="M356">
        <f t="shared" si="74"/>
        <v>0.48277632160733702</v>
      </c>
      <c r="N356" s="15">
        <v>2.049E-3</v>
      </c>
      <c r="O356" s="8">
        <f>(I356 - MAX(I242:I356)) / MAX(I242:I356)</f>
        <v>-0.50017311820511046</v>
      </c>
      <c r="P356" s="15">
        <v>-4.3E-3</v>
      </c>
      <c r="Q356">
        <f t="shared" si="75"/>
        <v>0.92481746655027075</v>
      </c>
      <c r="R356">
        <f t="shared" si="76"/>
        <v>2.4612296917411305E-2</v>
      </c>
      <c r="S356" s="15">
        <f t="shared" si="77"/>
        <v>6.2094233101151981E-2</v>
      </c>
    </row>
    <row r="357" spans="1:19" x14ac:dyDescent="0.3">
      <c r="A357" s="2">
        <v>45505</v>
      </c>
      <c r="B357">
        <v>2024</v>
      </c>
      <c r="C357">
        <v>8</v>
      </c>
      <c r="D357" s="5" t="s">
        <v>9</v>
      </c>
      <c r="E357" t="s">
        <v>17</v>
      </c>
      <c r="F357" t="s">
        <v>18</v>
      </c>
      <c r="G357" t="s">
        <v>19</v>
      </c>
      <c r="H357" t="s">
        <v>22</v>
      </c>
      <c r="I357">
        <v>14.747999999999999</v>
      </c>
      <c r="J357" s="8">
        <f t="shared" si="72"/>
        <v>2.1612635078969201E-2</v>
      </c>
      <c r="K357" s="8">
        <f t="shared" si="73"/>
        <v>-0.3386250504506928</v>
      </c>
      <c r="L357">
        <f t="shared" si="71"/>
        <v>1.9772635078969199E-2</v>
      </c>
      <c r="M357">
        <f t="shared" si="74"/>
        <v>0.52304153748559845</v>
      </c>
      <c r="N357" s="15">
        <v>1.8400000000000001E-3</v>
      </c>
      <c r="O357" s="8">
        <f>(I357 - MAX(I242:I357)) / MAX(I242:I357)</f>
        <v>-0.48937054220621845</v>
      </c>
      <c r="P357" s="15">
        <v>1.7500000000000002E-2</v>
      </c>
      <c r="Q357">
        <f t="shared" si="75"/>
        <v>0.94982812741916012</v>
      </c>
      <c r="R357">
        <f t="shared" si="76"/>
        <v>2.2028799397860416E-2</v>
      </c>
      <c r="S357" s="15">
        <f t="shared" si="77"/>
        <v>6.1244804141163088E-2</v>
      </c>
    </row>
    <row r="358" spans="1:19" x14ac:dyDescent="0.3">
      <c r="A358" s="2">
        <v>45536</v>
      </c>
      <c r="B358">
        <v>2024</v>
      </c>
      <c r="C358">
        <v>9</v>
      </c>
      <c r="D358" s="5" t="s">
        <v>9</v>
      </c>
      <c r="E358" t="s">
        <v>17</v>
      </c>
      <c r="F358" t="s">
        <v>18</v>
      </c>
      <c r="G358" t="s">
        <v>19</v>
      </c>
      <c r="H358" t="s">
        <v>22</v>
      </c>
      <c r="I358">
        <v>15.497999999999999</v>
      </c>
      <c r="J358" s="8">
        <f t="shared" si="72"/>
        <v>5.0854353132628156E-2</v>
      </c>
      <c r="K358" s="8">
        <f t="shared" si="73"/>
        <v>-0.30499125521323822</v>
      </c>
      <c r="L358">
        <f t="shared" si="71"/>
        <v>4.9048353132628154E-2</v>
      </c>
      <c r="M358">
        <f t="shared" si="74"/>
        <v>0.53735715222746161</v>
      </c>
      <c r="N358" s="15">
        <v>1.8060000000000001E-3</v>
      </c>
      <c r="O358" s="8">
        <f>(I358 - MAX(I242:I358)) / MAX(I242:I358)</f>
        <v>-0.46340281143965106</v>
      </c>
      <c r="P358" s="15">
        <v>8.6E-3</v>
      </c>
      <c r="Q358">
        <f t="shared" si="75"/>
        <v>1.1020335437749142</v>
      </c>
      <c r="R358">
        <f t="shared" si="76"/>
        <v>1.79533117138472E-2</v>
      </c>
      <c r="S358" s="15">
        <f t="shared" si="77"/>
        <v>6.1423325733800313E-2</v>
      </c>
    </row>
    <row r="359" spans="1:19" x14ac:dyDescent="0.3">
      <c r="A359" s="2">
        <v>45566</v>
      </c>
      <c r="B359">
        <v>2024</v>
      </c>
      <c r="C359">
        <v>10</v>
      </c>
      <c r="D359" s="5" t="s">
        <v>9</v>
      </c>
      <c r="E359" t="s">
        <v>17</v>
      </c>
      <c r="F359" t="s">
        <v>18</v>
      </c>
      <c r="G359" t="s">
        <v>19</v>
      </c>
      <c r="H359" t="s">
        <v>22</v>
      </c>
      <c r="I359">
        <v>15.624000000000001</v>
      </c>
      <c r="J359" s="8">
        <f t="shared" si="72"/>
        <v>8.1300813008130871E-3</v>
      </c>
      <c r="K359" s="8">
        <f t="shared" si="73"/>
        <v>-0.29934077761334577</v>
      </c>
      <c r="L359">
        <f t="shared" si="71"/>
        <v>6.2720813008130868E-3</v>
      </c>
      <c r="M359">
        <f t="shared" si="74"/>
        <v>0.56982561896912243</v>
      </c>
      <c r="N359" s="15">
        <v>1.8580000000000001E-3</v>
      </c>
      <c r="O359" s="8">
        <f>(I359 - MAX(I242:I359)) / MAX(I242:I359)</f>
        <v>-0.45904023267086769</v>
      </c>
      <c r="P359" s="15">
        <v>-3.4599999999999999E-2</v>
      </c>
      <c r="Q359">
        <f t="shared" si="75"/>
        <v>1.0009555751769657</v>
      </c>
      <c r="R359">
        <f t="shared" si="76"/>
        <v>2.1378285527953293E-2</v>
      </c>
      <c r="S359" s="15">
        <f t="shared" si="77"/>
        <v>6.0500300969282349E-2</v>
      </c>
    </row>
    <row r="360" spans="1:19" x14ac:dyDescent="0.3">
      <c r="A360" s="2">
        <v>45597</v>
      </c>
      <c r="B360">
        <v>2024</v>
      </c>
      <c r="C360">
        <v>11</v>
      </c>
      <c r="D360" s="5" t="s">
        <v>9</v>
      </c>
      <c r="E360" t="s">
        <v>17</v>
      </c>
      <c r="F360" t="s">
        <v>18</v>
      </c>
      <c r="G360" t="s">
        <v>19</v>
      </c>
      <c r="H360" t="s">
        <v>22</v>
      </c>
      <c r="I360">
        <v>16.074000000000002</v>
      </c>
      <c r="J360" s="8">
        <f t="shared" si="72"/>
        <v>2.8801843317972416E-2</v>
      </c>
      <c r="K360" s="8">
        <f t="shared" si="73"/>
        <v>-0.27916050047087293</v>
      </c>
      <c r="L360">
        <f t="shared" si="71"/>
        <v>2.6880843317972417E-2</v>
      </c>
      <c r="M360">
        <f t="shared" si="74"/>
        <v>0.49872059717828249</v>
      </c>
      <c r="N360" s="15">
        <v>1.921E-3</v>
      </c>
      <c r="O360" s="8">
        <f>(I360 - MAX(I242:I360)) / MAX(I242:I360)</f>
        <v>-0.44345959421092718</v>
      </c>
      <c r="P360" s="15">
        <v>-4.7999999999999996E-3</v>
      </c>
      <c r="Q360">
        <f t="shared" si="75"/>
        <v>0.95858826242484652</v>
      </c>
      <c r="R360">
        <f t="shared" si="76"/>
        <v>2.2425602502348256E-2</v>
      </c>
      <c r="S360" s="15">
        <f t="shared" si="77"/>
        <v>5.671554987606487E-2</v>
      </c>
    </row>
    <row r="361" spans="1:19" x14ac:dyDescent="0.3">
      <c r="A361" s="2">
        <v>45627</v>
      </c>
      <c r="B361">
        <v>2024</v>
      </c>
      <c r="C361">
        <v>12</v>
      </c>
      <c r="D361" s="5" t="s">
        <v>9</v>
      </c>
      <c r="E361" t="s">
        <v>17</v>
      </c>
      <c r="F361" t="s">
        <v>18</v>
      </c>
      <c r="G361" t="s">
        <v>19</v>
      </c>
      <c r="H361" t="s">
        <v>22</v>
      </c>
      <c r="I361">
        <v>16.64</v>
      </c>
      <c r="J361" s="8">
        <f t="shared" si="72"/>
        <v>3.5212143834764148E-2</v>
      </c>
      <c r="K361" s="8">
        <f t="shared" si="73"/>
        <v>-0.25377819633167398</v>
      </c>
      <c r="L361">
        <f t="shared" si="71"/>
        <v>3.339614383476415E-2</v>
      </c>
      <c r="M361">
        <f t="shared" si="74"/>
        <v>0.45029088530073902</v>
      </c>
      <c r="N361" s="15">
        <v>1.8159999999999999E-3</v>
      </c>
      <c r="O361" s="8">
        <f>(I361 - MAX(I242:I361)) / MAX(I242:I361)</f>
        <v>-0.42386261339242437</v>
      </c>
      <c r="P361" s="15">
        <v>1.35E-2</v>
      </c>
      <c r="Q361">
        <f t="shared" si="75"/>
        <v>0.87271827652665912</v>
      </c>
      <c r="R361">
        <f t="shared" si="76"/>
        <v>2.0600036065628147E-2</v>
      </c>
      <c r="S361" s="15">
        <f t="shared" si="77"/>
        <v>5.4629564231261925E-2</v>
      </c>
    </row>
    <row r="362" spans="1:19" x14ac:dyDescent="0.3">
      <c r="A362" s="2">
        <v>42005</v>
      </c>
      <c r="B362">
        <v>2015</v>
      </c>
      <c r="C362">
        <v>1</v>
      </c>
      <c r="D362" s="5" t="s">
        <v>9</v>
      </c>
      <c r="E362" t="s">
        <v>21</v>
      </c>
      <c r="F362" t="s">
        <v>20</v>
      </c>
      <c r="G362" t="s">
        <v>21</v>
      </c>
      <c r="H362" t="s">
        <v>24</v>
      </c>
      <c r="I362">
        <v>44.66</v>
      </c>
      <c r="J362" s="8">
        <v>-3.2076289553532811E-2</v>
      </c>
      <c r="K362" s="8">
        <v>-3.2076289553532811E-2</v>
      </c>
      <c r="L362">
        <f t="shared" si="71"/>
        <v>-3.240128955353281E-2</v>
      </c>
      <c r="N362" s="15">
        <v>3.2499999999999999E-4</v>
      </c>
      <c r="O362" s="8">
        <f>(I362 - MAX(I362:I362)) / MAX(I362:I362)</f>
        <v>0</v>
      </c>
      <c r="P362" s="15">
        <v>6.5199999999999994E-2</v>
      </c>
    </row>
    <row r="363" spans="1:19" x14ac:dyDescent="0.3">
      <c r="A363" s="2">
        <v>42036</v>
      </c>
      <c r="B363">
        <v>2015</v>
      </c>
      <c r="C363">
        <v>2</v>
      </c>
      <c r="D363" s="5" t="s">
        <v>9</v>
      </c>
      <c r="E363" t="s">
        <v>21</v>
      </c>
      <c r="F363" t="s">
        <v>20</v>
      </c>
      <c r="G363" t="s">
        <v>21</v>
      </c>
      <c r="H363" t="s">
        <v>24</v>
      </c>
      <c r="I363">
        <v>43.59</v>
      </c>
      <c r="J363" s="8">
        <f t="shared" ref="J363:J394" si="78">(I363-I362)/I362</f>
        <v>-2.3958799820868636E-2</v>
      </c>
      <c r="K363" s="8">
        <f t="shared" ref="K363:K394" si="79">(K362+1)*(J363+1)-1</f>
        <v>-5.5266579973992203E-2</v>
      </c>
      <c r="L363">
        <f t="shared" si="71"/>
        <v>-2.4210799820868635E-2</v>
      </c>
      <c r="N363" s="15">
        <v>2.52E-4</v>
      </c>
      <c r="O363" s="8">
        <f>(I363 - MAX(I362:I363)) / MAX(I362:I363)</f>
        <v>-2.3958799820868636E-2</v>
      </c>
      <c r="P363" s="15">
        <v>7.3899999999999993E-2</v>
      </c>
    </row>
    <row r="364" spans="1:19" x14ac:dyDescent="0.3">
      <c r="A364" s="2">
        <v>42064</v>
      </c>
      <c r="B364">
        <v>2015</v>
      </c>
      <c r="C364">
        <v>3</v>
      </c>
      <c r="D364" s="5" t="s">
        <v>9</v>
      </c>
      <c r="E364" t="s">
        <v>21</v>
      </c>
      <c r="F364" t="s">
        <v>20</v>
      </c>
      <c r="G364" t="s">
        <v>21</v>
      </c>
      <c r="H364" t="s">
        <v>24</v>
      </c>
      <c r="I364">
        <v>41.6</v>
      </c>
      <c r="J364" s="8">
        <f t="shared" si="78"/>
        <v>-4.5652672631337501E-2</v>
      </c>
      <c r="K364" s="8">
        <f t="shared" si="79"/>
        <v>-9.8396185522323432E-2</v>
      </c>
      <c r="L364">
        <f t="shared" si="71"/>
        <v>-4.5841672631337503E-2</v>
      </c>
      <c r="N364" s="15">
        <v>1.8900000000000001E-4</v>
      </c>
      <c r="O364" s="8">
        <f>(I364 - MAX(I362:I364)) / MAX(I362:I364)</f>
        <v>-6.8517689207344273E-2</v>
      </c>
      <c r="P364" s="15">
        <v>2.7300000000000001E-2</v>
      </c>
    </row>
    <row r="365" spans="1:19" x14ac:dyDescent="0.3">
      <c r="A365" s="2">
        <v>42095</v>
      </c>
      <c r="B365">
        <v>2015</v>
      </c>
      <c r="C365">
        <v>4</v>
      </c>
      <c r="D365" s="5" t="s">
        <v>9</v>
      </c>
      <c r="E365" t="s">
        <v>21</v>
      </c>
      <c r="F365" t="s">
        <v>20</v>
      </c>
      <c r="G365" t="s">
        <v>21</v>
      </c>
      <c r="H365" t="s">
        <v>24</v>
      </c>
      <c r="I365">
        <v>48.48</v>
      </c>
      <c r="J365" s="8">
        <f t="shared" si="78"/>
        <v>0.16538461538461527</v>
      </c>
      <c r="K365" s="8">
        <f t="shared" si="79"/>
        <v>5.0715214564369004E-2</v>
      </c>
      <c r="L365">
        <f t="shared" si="71"/>
        <v>0.16528261538461528</v>
      </c>
      <c r="N365" s="15">
        <v>1.02E-4</v>
      </c>
      <c r="O365" s="8">
        <f>(I365 - MAX(I362:I365)) / MAX(I362:I365)</f>
        <v>0</v>
      </c>
      <c r="P365" s="15">
        <v>-2.2100000000000002E-2</v>
      </c>
    </row>
    <row r="366" spans="1:19" x14ac:dyDescent="0.3">
      <c r="A366" s="2">
        <v>42125</v>
      </c>
      <c r="B366">
        <v>2015</v>
      </c>
      <c r="C366">
        <v>5</v>
      </c>
      <c r="D366" s="5" t="s">
        <v>9</v>
      </c>
      <c r="E366" t="s">
        <v>21</v>
      </c>
      <c r="F366" t="s">
        <v>20</v>
      </c>
      <c r="G366" t="s">
        <v>21</v>
      </c>
      <c r="H366" t="s">
        <v>24</v>
      </c>
      <c r="I366">
        <v>46.4</v>
      </c>
      <c r="J366" s="8">
        <f t="shared" si="78"/>
        <v>-4.2904290429042875E-2</v>
      </c>
      <c r="K366" s="8">
        <f t="shared" si="79"/>
        <v>5.6350238404851982E-3</v>
      </c>
      <c r="L366">
        <f t="shared" si="71"/>
        <v>-4.3367290429042873E-2</v>
      </c>
      <c r="N366" s="15">
        <v>4.6299999999999998E-4</v>
      </c>
      <c r="O366" s="8">
        <f>(I366 - MAX(I362:I366)) / MAX(I362:I366)</f>
        <v>-4.2904290429042875E-2</v>
      </c>
      <c r="P366" s="15">
        <v>-1.24E-2</v>
      </c>
    </row>
    <row r="367" spans="1:19" x14ac:dyDescent="0.3">
      <c r="A367" s="2">
        <v>42156</v>
      </c>
      <c r="B367">
        <v>2015</v>
      </c>
      <c r="C367">
        <v>6</v>
      </c>
      <c r="D367" s="5" t="s">
        <v>9</v>
      </c>
      <c r="E367" t="s">
        <v>21</v>
      </c>
      <c r="F367" t="s">
        <v>20</v>
      </c>
      <c r="G367" t="s">
        <v>21</v>
      </c>
      <c r="H367" t="s">
        <v>24</v>
      </c>
      <c r="I367">
        <v>43.77</v>
      </c>
      <c r="J367" s="8">
        <f t="shared" si="78"/>
        <v>-5.6681034482758526E-2</v>
      </c>
      <c r="K367" s="8">
        <f t="shared" si="79"/>
        <v>-5.1365409622887048E-2</v>
      </c>
      <c r="L367">
        <f t="shared" si="71"/>
        <v>-5.7342034482758528E-2</v>
      </c>
      <c r="N367" s="15">
        <v>6.6100000000000002E-4</v>
      </c>
      <c r="O367" s="8">
        <f>(I367 - MAX(I362:I367)) / MAX(I362:I367)</f>
        <v>-9.7153465346534532E-2</v>
      </c>
      <c r="P367" s="15">
        <v>-4.0999999999999988E-2</v>
      </c>
    </row>
    <row r="368" spans="1:19" x14ac:dyDescent="0.3">
      <c r="A368" s="2">
        <v>42186</v>
      </c>
      <c r="B368">
        <v>2015</v>
      </c>
      <c r="C368">
        <v>7</v>
      </c>
      <c r="D368" s="5" t="s">
        <v>9</v>
      </c>
      <c r="E368" t="s">
        <v>21</v>
      </c>
      <c r="F368" t="s">
        <v>20</v>
      </c>
      <c r="G368" t="s">
        <v>21</v>
      </c>
      <c r="H368" t="s">
        <v>24</v>
      </c>
      <c r="I368">
        <v>44.03</v>
      </c>
      <c r="J368" s="8">
        <f t="shared" si="78"/>
        <v>5.9401416495315964E-3</v>
      </c>
      <c r="K368" s="8">
        <f t="shared" si="79"/>
        <v>-4.5730385782401739E-2</v>
      </c>
      <c r="L368">
        <f t="shared" si="71"/>
        <v>5.3481416495315967E-3</v>
      </c>
      <c r="N368" s="15">
        <v>5.9199999999999997E-4</v>
      </c>
      <c r="O368" s="8">
        <f>(I368 - MAX(I362:I368)) / MAX(I362:I368)</f>
        <v>-9.1790429042904215E-2</v>
      </c>
      <c r="P368" s="15">
        <v>5.1499999999999997E-2</v>
      </c>
    </row>
    <row r="369" spans="1:19" x14ac:dyDescent="0.3">
      <c r="A369" s="2">
        <v>42217</v>
      </c>
      <c r="B369">
        <v>2015</v>
      </c>
      <c r="C369">
        <v>8</v>
      </c>
      <c r="D369" s="5" t="s">
        <v>9</v>
      </c>
      <c r="E369" t="s">
        <v>21</v>
      </c>
      <c r="F369" t="s">
        <v>20</v>
      </c>
      <c r="G369" t="s">
        <v>21</v>
      </c>
      <c r="H369" t="s">
        <v>24</v>
      </c>
      <c r="I369">
        <v>38.75</v>
      </c>
      <c r="J369" s="8">
        <f t="shared" si="78"/>
        <v>-0.11991823756529642</v>
      </c>
      <c r="K369" s="8">
        <f t="shared" si="79"/>
        <v>-0.16016471608149141</v>
      </c>
      <c r="L369">
        <f t="shared" si="71"/>
        <v>-0.12042523756529641</v>
      </c>
      <c r="N369" s="15">
        <v>5.0699999999999996E-4</v>
      </c>
      <c r="O369" s="8">
        <f>(I369 - MAX(I362:I369)) / MAX(I362:I369)</f>
        <v>-0.20070132013201314</v>
      </c>
      <c r="P369" s="15">
        <v>-9.1899999999999996E-2</v>
      </c>
    </row>
    <row r="370" spans="1:19" x14ac:dyDescent="0.3">
      <c r="A370" s="2">
        <v>42248</v>
      </c>
      <c r="B370">
        <v>2015</v>
      </c>
      <c r="C370">
        <v>9</v>
      </c>
      <c r="D370" s="5" t="s">
        <v>9</v>
      </c>
      <c r="E370" t="s">
        <v>21</v>
      </c>
      <c r="F370" t="s">
        <v>20</v>
      </c>
      <c r="G370" t="s">
        <v>21</v>
      </c>
      <c r="H370" t="s">
        <v>24</v>
      </c>
      <c r="I370">
        <v>37</v>
      </c>
      <c r="J370" s="8">
        <f t="shared" si="78"/>
        <v>-4.5161290322580643E-2</v>
      </c>
      <c r="K370" s="8">
        <f t="shared" si="79"/>
        <v>-0.19809276116168217</v>
      </c>
      <c r="L370">
        <f t="shared" si="71"/>
        <v>-4.5706290322580639E-2</v>
      </c>
      <c r="N370" s="15">
        <v>5.4500000000000002E-4</v>
      </c>
      <c r="O370" s="8">
        <f>(I370 - MAX(I362:I370)) / MAX(I362:I370)</f>
        <v>-0.23679867986798675</v>
      </c>
      <c r="P370" s="15">
        <v>-5.1700000000000003E-2</v>
      </c>
    </row>
    <row r="371" spans="1:19" x14ac:dyDescent="0.3">
      <c r="A371" s="2">
        <v>42278</v>
      </c>
      <c r="B371">
        <v>2015</v>
      </c>
      <c r="C371">
        <v>10</v>
      </c>
      <c r="D371" s="5" t="s">
        <v>9</v>
      </c>
      <c r="E371" t="s">
        <v>21</v>
      </c>
      <c r="F371" t="s">
        <v>20</v>
      </c>
      <c r="G371" t="s">
        <v>21</v>
      </c>
      <c r="H371" t="s">
        <v>24</v>
      </c>
      <c r="I371">
        <v>38.17</v>
      </c>
      <c r="J371" s="8">
        <f t="shared" si="78"/>
        <v>3.1621621621621666E-2</v>
      </c>
      <c r="K371" s="8">
        <f t="shared" si="79"/>
        <v>-0.17273515387949756</v>
      </c>
      <c r="L371">
        <f t="shared" si="71"/>
        <v>3.1189621621621668E-2</v>
      </c>
      <c r="N371" s="15">
        <v>4.3199999999999998E-4</v>
      </c>
      <c r="O371" s="8">
        <f>(I371 - MAX(I362:I371)) / MAX(I362:I371)</f>
        <v>-0.21266501650165007</v>
      </c>
      <c r="P371" s="15">
        <v>0.1024</v>
      </c>
    </row>
    <row r="372" spans="1:19" x14ac:dyDescent="0.3">
      <c r="A372" s="2">
        <v>42309</v>
      </c>
      <c r="B372">
        <v>2015</v>
      </c>
      <c r="C372">
        <v>11</v>
      </c>
      <c r="D372" s="5" t="s">
        <v>9</v>
      </c>
      <c r="E372" t="s">
        <v>21</v>
      </c>
      <c r="F372" t="s">
        <v>20</v>
      </c>
      <c r="G372" t="s">
        <v>21</v>
      </c>
      <c r="H372" t="s">
        <v>24</v>
      </c>
      <c r="I372">
        <v>38.979999999999997</v>
      </c>
      <c r="J372" s="8">
        <f t="shared" si="78"/>
        <v>2.1220854073879882E-2</v>
      </c>
      <c r="K372" s="8">
        <f t="shared" si="79"/>
        <v>-0.1551798872995237</v>
      </c>
      <c r="L372">
        <f t="shared" si="71"/>
        <v>2.0790854073879882E-2</v>
      </c>
      <c r="N372" s="15">
        <v>4.2999999999999999E-4</v>
      </c>
      <c r="O372" s="8">
        <f>(I372 - MAX(I362:I372)) / MAX(I362:I372)</f>
        <v>-0.19595709570957098</v>
      </c>
      <c r="P372" s="15">
        <v>2.58E-2</v>
      </c>
    </row>
    <row r="373" spans="1:19" x14ac:dyDescent="0.3">
      <c r="A373" s="2">
        <v>42339</v>
      </c>
      <c r="B373">
        <v>2015</v>
      </c>
      <c r="C373">
        <v>12</v>
      </c>
      <c r="D373" s="5" t="s">
        <v>9</v>
      </c>
      <c r="E373" t="s">
        <v>21</v>
      </c>
      <c r="F373" t="s">
        <v>20</v>
      </c>
      <c r="G373" t="s">
        <v>21</v>
      </c>
      <c r="H373" t="s">
        <v>24</v>
      </c>
      <c r="I373">
        <v>38.56</v>
      </c>
      <c r="J373" s="8">
        <f t="shared" si="78"/>
        <v>-1.0774756285274361E-2</v>
      </c>
      <c r="K373" s="8">
        <f t="shared" si="79"/>
        <v>-0.16428261811876932</v>
      </c>
      <c r="L373">
        <f t="shared" si="71"/>
        <v>-1.1229756285274362E-2</v>
      </c>
      <c r="M373">
        <f t="shared" ref="M373:M404" si="80">(AVERAGE(J362:J373)-AVERAGE(N362:N373))/STDEV(J362:J373)</f>
        <v>-0.19109347991084122</v>
      </c>
      <c r="N373" s="15">
        <v>4.55E-4</v>
      </c>
      <c r="O373" s="8">
        <f>(I373 - MAX(I362:I373)) / MAX(I362:I373)</f>
        <v>-0.20462046204620452</v>
      </c>
      <c r="P373" s="15">
        <v>-6.2300000000000001E-2</v>
      </c>
      <c r="Q373">
        <f t="shared" ref="Q373:Q404" si="81" xml:space="preserve"> _xlfn.COVARIANCE.P(J362:J373, P362:P373) / _xlfn.VAR.P(P362:P373)</f>
        <v>0.31612373114215409</v>
      </c>
      <c r="R373">
        <f t="shared" ref="R373:R404" si="82">AVERAGE(J362:J373)-(AVERAGE(N362:N373)+Q373*(AVERAGE(P362:P373)-AVERAGE(N362:N373)))</f>
        <v>-1.4733381910466137E-2</v>
      </c>
      <c r="S373" s="15">
        <f t="shared" ref="S373:S404" si="83">STDEV(J362:J373)</f>
        <v>6.8863826243016915E-2</v>
      </c>
    </row>
    <row r="374" spans="1:19" x14ac:dyDescent="0.3">
      <c r="A374" s="2">
        <v>42370</v>
      </c>
      <c r="B374">
        <v>2016</v>
      </c>
      <c r="C374">
        <v>1</v>
      </c>
      <c r="D374" s="5" t="s">
        <v>9</v>
      </c>
      <c r="E374" t="s">
        <v>21</v>
      </c>
      <c r="F374" t="s">
        <v>20</v>
      </c>
      <c r="G374" t="s">
        <v>21</v>
      </c>
      <c r="H374" t="s">
        <v>24</v>
      </c>
      <c r="I374">
        <v>34.58</v>
      </c>
      <c r="J374" s="8">
        <f t="shared" si="78"/>
        <v>-0.10321576763485486</v>
      </c>
      <c r="K374" s="8">
        <f t="shared" si="79"/>
        <v>-0.25054182921543167</v>
      </c>
      <c r="L374">
        <f t="shared" si="71"/>
        <v>-0.10357476763485486</v>
      </c>
      <c r="M374">
        <f t="shared" si="80"/>
        <v>-0.25945386926609165</v>
      </c>
      <c r="N374" s="15">
        <v>3.59E-4</v>
      </c>
      <c r="O374" s="8">
        <f>(I374 - MAX(I362:I374)) / MAX(I362:I374)</f>
        <v>-0.28671617161716173</v>
      </c>
      <c r="P374" s="15">
        <v>-7.3899999999999993E-2</v>
      </c>
      <c r="Q374">
        <f t="shared" si="81"/>
        <v>0.48520851312356544</v>
      </c>
      <c r="R374">
        <f t="shared" si="82"/>
        <v>-1.5880614017585414E-2</v>
      </c>
      <c r="S374" s="15">
        <f t="shared" si="83"/>
        <v>7.357975205456721E-2</v>
      </c>
    </row>
    <row r="375" spans="1:19" x14ac:dyDescent="0.3">
      <c r="A375" s="2">
        <v>42401</v>
      </c>
      <c r="B375">
        <v>2016</v>
      </c>
      <c r="C375">
        <v>2</v>
      </c>
      <c r="D375" s="5" t="s">
        <v>9</v>
      </c>
      <c r="E375" t="s">
        <v>21</v>
      </c>
      <c r="F375" t="s">
        <v>20</v>
      </c>
      <c r="G375" t="s">
        <v>21</v>
      </c>
      <c r="H375" t="s">
        <v>24</v>
      </c>
      <c r="I375">
        <v>31.04</v>
      </c>
      <c r="J375" s="8">
        <f t="shared" si="78"/>
        <v>-0.10237131289762867</v>
      </c>
      <c r="K375" s="8">
        <f t="shared" si="79"/>
        <v>-0.32726484612050311</v>
      </c>
      <c r="L375">
        <f t="shared" si="71"/>
        <v>-0.10251531289762868</v>
      </c>
      <c r="M375">
        <f t="shared" si="80"/>
        <v>-0.33065370921907788</v>
      </c>
      <c r="N375" s="15">
        <v>1.44E-4</v>
      </c>
      <c r="O375" s="8">
        <f>(I375 - MAX(I362:I375)) / MAX(I362:I375)</f>
        <v>-0.3597359735973597</v>
      </c>
      <c r="P375" s="15">
        <v>-3.2599999999999997E-2</v>
      </c>
      <c r="Q375">
        <f t="shared" si="81"/>
        <v>0.63016578061646888</v>
      </c>
      <c r="R375">
        <f t="shared" si="82"/>
        <v>-1.5859963413498209E-2</v>
      </c>
      <c r="S375" s="15">
        <f t="shared" si="83"/>
        <v>7.7470558308344983E-2</v>
      </c>
    </row>
    <row r="376" spans="1:19" x14ac:dyDescent="0.3">
      <c r="A376" s="2">
        <v>42430</v>
      </c>
      <c r="B376">
        <v>2016</v>
      </c>
      <c r="C376">
        <v>3</v>
      </c>
      <c r="D376" s="5" t="s">
        <v>9</v>
      </c>
      <c r="E376" t="s">
        <v>21</v>
      </c>
      <c r="F376" t="s">
        <v>20</v>
      </c>
      <c r="G376" t="s">
        <v>21</v>
      </c>
      <c r="H376" t="s">
        <v>24</v>
      </c>
      <c r="I376">
        <v>30.4</v>
      </c>
      <c r="J376" s="8">
        <f t="shared" si="78"/>
        <v>-2.0618556701030948E-2</v>
      </c>
      <c r="K376" s="8">
        <f t="shared" si="79"/>
        <v>-0.34113567403554435</v>
      </c>
      <c r="L376">
        <f t="shared" si="71"/>
        <v>-2.0761556701030949E-2</v>
      </c>
      <c r="M376">
        <f t="shared" si="80"/>
        <v>-0.30471374377411686</v>
      </c>
      <c r="N376" s="15">
        <v>1.4300000000000001E-4</v>
      </c>
      <c r="O376" s="8">
        <f>(I376 - MAX(I362:I376)) / MAX(I362:I376)</f>
        <v>-0.3729372937293729</v>
      </c>
      <c r="P376" s="15">
        <v>2.01E-2</v>
      </c>
      <c r="Q376">
        <f t="shared" si="81"/>
        <v>0.66996992429762159</v>
      </c>
      <c r="R376">
        <f t="shared" si="82"/>
        <v>-1.2754308848692161E-2</v>
      </c>
      <c r="S376" s="15">
        <f t="shared" si="83"/>
        <v>7.7206618604338098E-2</v>
      </c>
    </row>
    <row r="377" spans="1:19" x14ac:dyDescent="0.3">
      <c r="A377" s="2">
        <v>42461</v>
      </c>
      <c r="B377">
        <v>2016</v>
      </c>
      <c r="C377">
        <v>4</v>
      </c>
      <c r="D377" s="5" t="s">
        <v>9</v>
      </c>
      <c r="E377" t="s">
        <v>21</v>
      </c>
      <c r="F377" t="s">
        <v>20</v>
      </c>
      <c r="G377" t="s">
        <v>21</v>
      </c>
      <c r="H377" t="s">
        <v>24</v>
      </c>
      <c r="I377">
        <v>32.56</v>
      </c>
      <c r="J377" s="8">
        <f t="shared" si="78"/>
        <v>7.1052631578947492E-2</v>
      </c>
      <c r="K377" s="8">
        <f t="shared" si="79"/>
        <v>-0.29432162982228027</v>
      </c>
      <c r="L377">
        <f t="shared" si="71"/>
        <v>7.0940631578947491E-2</v>
      </c>
      <c r="M377">
        <f t="shared" si="80"/>
        <v>-0.53289531349441921</v>
      </c>
      <c r="N377" s="15">
        <v>1.12E-4</v>
      </c>
      <c r="O377" s="8">
        <f>(I377 - MAX(I362:I377)) / MAX(I362:I377)</f>
        <v>-0.3283828382838283</v>
      </c>
      <c r="P377" s="15">
        <v>7.7000000000000002E-3</v>
      </c>
      <c r="Q377">
        <f t="shared" si="81"/>
        <v>0.76446100182707588</v>
      </c>
      <c r="R377">
        <f t="shared" si="82"/>
        <v>-2.0994711347784346E-2</v>
      </c>
      <c r="S377" s="15">
        <f t="shared" si="83"/>
        <v>5.8900404991462936E-2</v>
      </c>
    </row>
    <row r="378" spans="1:19" x14ac:dyDescent="0.3">
      <c r="A378" s="2">
        <v>42491</v>
      </c>
      <c r="B378">
        <v>2016</v>
      </c>
      <c r="C378">
        <v>5</v>
      </c>
      <c r="D378" s="5" t="s">
        <v>9</v>
      </c>
      <c r="E378" t="s">
        <v>21</v>
      </c>
      <c r="F378" t="s">
        <v>20</v>
      </c>
      <c r="G378" t="s">
        <v>21</v>
      </c>
      <c r="H378" t="s">
        <v>24</v>
      </c>
      <c r="I378">
        <v>31.69</v>
      </c>
      <c r="J378" s="8">
        <f t="shared" si="78"/>
        <v>-2.671990171990175E-2</v>
      </c>
      <c r="K378" s="8">
        <f t="shared" si="79"/>
        <v>-0.31317728651928944</v>
      </c>
      <c r="L378">
        <f t="shared" si="71"/>
        <v>-2.683090171990175E-2</v>
      </c>
      <c r="M378">
        <f t="shared" si="80"/>
        <v>-0.51047497766238015</v>
      </c>
      <c r="N378" s="15">
        <v>1.11E-4</v>
      </c>
      <c r="O378" s="8">
        <f>(I378 - MAX(I362:I378)) / MAX(I362:I378)</f>
        <v>-0.34632838283828377</v>
      </c>
      <c r="P378" s="15">
        <v>1.1599999999999999E-2</v>
      </c>
      <c r="Q378">
        <f t="shared" si="81"/>
        <v>0.75476938370991564</v>
      </c>
      <c r="R378">
        <f t="shared" si="82"/>
        <v>-2.1280117595905226E-2</v>
      </c>
      <c r="S378" s="15">
        <f t="shared" si="83"/>
        <v>5.8787832320144402E-2</v>
      </c>
    </row>
    <row r="379" spans="1:19" x14ac:dyDescent="0.3">
      <c r="A379" s="2">
        <v>42522</v>
      </c>
      <c r="B379">
        <v>2016</v>
      </c>
      <c r="C379">
        <v>6</v>
      </c>
      <c r="D379" s="5" t="s">
        <v>9</v>
      </c>
      <c r="E379" t="s">
        <v>21</v>
      </c>
      <c r="F379" t="s">
        <v>20</v>
      </c>
      <c r="G379" t="s">
        <v>21</v>
      </c>
      <c r="H379" t="s">
        <v>24</v>
      </c>
      <c r="I379">
        <v>30.59</v>
      </c>
      <c r="J379" s="8">
        <f t="shared" si="78"/>
        <v>-3.4711265383401746E-2</v>
      </c>
      <c r="K379" s="8">
        <f t="shared" si="79"/>
        <v>-0.33701777199826644</v>
      </c>
      <c r="L379">
        <f t="shared" si="71"/>
        <v>-3.4697265383401746E-2</v>
      </c>
      <c r="M379">
        <f t="shared" si="80"/>
        <v>-0.48313877120712651</v>
      </c>
      <c r="N379" s="15">
        <v>-1.4E-5</v>
      </c>
      <c r="O379" s="8">
        <f>(I379 - MAX(I362:I379)) / MAX(I362:I379)</f>
        <v>-0.36901815181518149</v>
      </c>
      <c r="P379" s="15">
        <v>-6.4899999999999999E-2</v>
      </c>
      <c r="Q379">
        <f t="shared" si="81"/>
        <v>0.70324884999760551</v>
      </c>
      <c r="R379">
        <f t="shared" si="82"/>
        <v>-1.8627856158731401E-2</v>
      </c>
      <c r="S379" s="15">
        <f t="shared" si="83"/>
        <v>5.820823120563829E-2</v>
      </c>
    </row>
    <row r="380" spans="1:19" x14ac:dyDescent="0.3">
      <c r="A380" s="2">
        <v>42552</v>
      </c>
      <c r="B380">
        <v>2016</v>
      </c>
      <c r="C380">
        <v>7</v>
      </c>
      <c r="D380" s="5" t="s">
        <v>9</v>
      </c>
      <c r="E380" t="s">
        <v>21</v>
      </c>
      <c r="F380" t="s">
        <v>20</v>
      </c>
      <c r="G380" t="s">
        <v>21</v>
      </c>
      <c r="H380" t="s">
        <v>24</v>
      </c>
      <c r="I380">
        <v>31.99</v>
      </c>
      <c r="J380" s="8">
        <f t="shared" si="78"/>
        <v>4.5766590389015975E-2</v>
      </c>
      <c r="K380" s="8">
        <f t="shared" si="79"/>
        <v>-0.306675335934114</v>
      </c>
      <c r="L380">
        <f t="shared" si="71"/>
        <v>4.5895590389015972E-2</v>
      </c>
      <c r="M380">
        <f t="shared" si="80"/>
        <v>-0.40327172634555214</v>
      </c>
      <c r="N380" s="15">
        <v>-1.2899999999999999E-4</v>
      </c>
      <c r="O380" s="8">
        <f>(I380 - MAX(I362:I380)) / MAX(I362:I380)</f>
        <v>-0.34014026402640263</v>
      </c>
      <c r="P380" s="15">
        <v>4.3999999999999997E-2</v>
      </c>
      <c r="Q380">
        <f t="shared" si="81"/>
        <v>0.77583338063926899</v>
      </c>
      <c r="R380">
        <f t="shared" si="82"/>
        <v>-1.383063294679158E-2</v>
      </c>
      <c r="S380" s="15">
        <f t="shared" si="83"/>
        <v>6.1357386647053258E-2</v>
      </c>
    </row>
    <row r="381" spans="1:19" x14ac:dyDescent="0.3">
      <c r="A381" s="2">
        <v>42583</v>
      </c>
      <c r="B381">
        <v>2016</v>
      </c>
      <c r="C381">
        <v>8</v>
      </c>
      <c r="D381" s="5" t="s">
        <v>9</v>
      </c>
      <c r="E381" t="s">
        <v>21</v>
      </c>
      <c r="F381" t="s">
        <v>20</v>
      </c>
      <c r="G381" t="s">
        <v>21</v>
      </c>
      <c r="H381" t="s">
        <v>24</v>
      </c>
      <c r="I381">
        <v>36.340000000000003</v>
      </c>
      <c r="J381" s="8">
        <f t="shared" si="78"/>
        <v>0.13597999374804642</v>
      </c>
      <c r="K381" s="8">
        <f t="shared" si="79"/>
        <v>-0.21239705244906848</v>
      </c>
      <c r="L381">
        <f t="shared" si="71"/>
        <v>0.13608999374804642</v>
      </c>
      <c r="M381">
        <f t="shared" si="80"/>
        <v>-4.8698399098485466E-2</v>
      </c>
      <c r="N381" s="15">
        <v>-1.1E-4</v>
      </c>
      <c r="O381" s="8">
        <f>(I381 - MAX(I362:I381)) / MAX(I362:I381)</f>
        <v>-0.25041254125412532</v>
      </c>
      <c r="P381" s="15">
        <v>1.0800000000000001E-2</v>
      </c>
      <c r="Q381">
        <f t="shared" si="81"/>
        <v>0.75143958443363557</v>
      </c>
      <c r="R381">
        <f t="shared" si="82"/>
        <v>7.3280013136533921E-4</v>
      </c>
      <c r="S381" s="15">
        <f t="shared" si="83"/>
        <v>6.9148678877238912E-2</v>
      </c>
    </row>
    <row r="382" spans="1:19" x14ac:dyDescent="0.3">
      <c r="A382" s="2">
        <v>42614</v>
      </c>
      <c r="B382">
        <v>2016</v>
      </c>
      <c r="C382">
        <v>9</v>
      </c>
      <c r="D382" s="5" t="s">
        <v>9</v>
      </c>
      <c r="E382" t="s">
        <v>21</v>
      </c>
      <c r="F382" t="s">
        <v>20</v>
      </c>
      <c r="G382" t="s">
        <v>21</v>
      </c>
      <c r="H382" t="s">
        <v>24</v>
      </c>
      <c r="I382">
        <v>36.74</v>
      </c>
      <c r="J382" s="8">
        <f t="shared" si="78"/>
        <v>1.10071546505228E-2</v>
      </c>
      <c r="K382" s="8">
        <f t="shared" si="79"/>
        <v>-0.20372778500216782</v>
      </c>
      <c r="L382">
        <f t="shared" si="71"/>
        <v>1.1077154650522801E-2</v>
      </c>
      <c r="M382">
        <f t="shared" si="80"/>
        <v>2.008494891538283E-2</v>
      </c>
      <c r="N382" s="15">
        <v>-6.9999999999999994E-5</v>
      </c>
      <c r="O382" s="8">
        <f>(I382 - MAX(I362:I382)) / MAX(I362:I382)</f>
        <v>-0.24216171617161708</v>
      </c>
      <c r="P382" s="15">
        <v>-6.8999999999999999E-3</v>
      </c>
      <c r="Q382">
        <f t="shared" si="81"/>
        <v>0.7360014898486118</v>
      </c>
      <c r="R382">
        <f t="shared" si="82"/>
        <v>2.5950569442312168E-3</v>
      </c>
      <c r="S382" s="15">
        <f t="shared" si="83"/>
        <v>6.7937627942720499E-2</v>
      </c>
    </row>
    <row r="383" spans="1:19" x14ac:dyDescent="0.3">
      <c r="A383" s="2">
        <v>42644</v>
      </c>
      <c r="B383">
        <v>2016</v>
      </c>
      <c r="C383">
        <v>10</v>
      </c>
      <c r="D383" s="5" t="s">
        <v>9</v>
      </c>
      <c r="E383" t="s">
        <v>21</v>
      </c>
      <c r="F383" t="s">
        <v>20</v>
      </c>
      <c r="G383" t="s">
        <v>21</v>
      </c>
      <c r="H383" t="s">
        <v>24</v>
      </c>
      <c r="I383">
        <v>36.76</v>
      </c>
      <c r="J383" s="8">
        <f t="shared" si="78"/>
        <v>5.443658138267833E-4</v>
      </c>
      <c r="K383" s="8">
        <f t="shared" si="79"/>
        <v>-0.20329432162982275</v>
      </c>
      <c r="L383">
        <f t="shared" si="71"/>
        <v>5.4236581382678326E-4</v>
      </c>
      <c r="M383">
        <f t="shared" si="80"/>
        <v>-1.7679901860955846E-2</v>
      </c>
      <c r="N383" s="15">
        <v>1.9999999999999999E-6</v>
      </c>
      <c r="O383" s="8">
        <f>(I383 - MAX(I362:I383)) / MAX(I362:I383)</f>
        <v>-0.24174917491749173</v>
      </c>
      <c r="P383" s="15">
        <v>1.77E-2</v>
      </c>
      <c r="Q383">
        <f t="shared" si="81"/>
        <v>1.0087958301472471</v>
      </c>
      <c r="R383">
        <f t="shared" si="82"/>
        <v>7.5814770815749799E-3</v>
      </c>
      <c r="S383" s="15">
        <f t="shared" si="83"/>
        <v>6.727493210512514E-2</v>
      </c>
    </row>
    <row r="384" spans="1:19" x14ac:dyDescent="0.3">
      <c r="A384" s="2">
        <v>42675</v>
      </c>
      <c r="B384">
        <v>2016</v>
      </c>
      <c r="C384">
        <v>11</v>
      </c>
      <c r="D384" s="5" t="s">
        <v>9</v>
      </c>
      <c r="E384" t="s">
        <v>21</v>
      </c>
      <c r="F384" t="s">
        <v>20</v>
      </c>
      <c r="G384" t="s">
        <v>21</v>
      </c>
      <c r="H384" t="s">
        <v>24</v>
      </c>
      <c r="I384">
        <v>38.630000000000003</v>
      </c>
      <c r="J384" s="8">
        <f t="shared" si="78"/>
        <v>5.0870511425462589E-2</v>
      </c>
      <c r="K384" s="8">
        <f t="shared" si="79"/>
        <v>-0.1627654963155617</v>
      </c>
      <c r="L384">
        <f t="shared" si="71"/>
        <v>5.0712511425462591E-2</v>
      </c>
      <c r="M384">
        <f t="shared" si="80"/>
        <v>1.8982611165565627E-2</v>
      </c>
      <c r="N384" s="15">
        <v>1.5799999999999999E-4</v>
      </c>
      <c r="O384" s="8">
        <f>(I384 - MAX(I362:I384)) / MAX(I362:I384)</f>
        <v>-0.20317656765676556</v>
      </c>
      <c r="P384" s="15">
        <v>-1.1999999999999999E-3</v>
      </c>
      <c r="Q384">
        <f t="shared" si="81"/>
        <v>1.0631583505334907</v>
      </c>
      <c r="R384">
        <f t="shared" si="82"/>
        <v>1.29156069635833E-2</v>
      </c>
      <c r="S384" s="15">
        <f t="shared" si="83"/>
        <v>6.8697464077529094E-2</v>
      </c>
    </row>
    <row r="385" spans="1:19" x14ac:dyDescent="0.3">
      <c r="A385" s="2">
        <v>42705</v>
      </c>
      <c r="B385">
        <v>2016</v>
      </c>
      <c r="C385">
        <v>12</v>
      </c>
      <c r="D385" s="5" t="s">
        <v>9</v>
      </c>
      <c r="E385" t="s">
        <v>21</v>
      </c>
      <c r="F385" t="s">
        <v>20</v>
      </c>
      <c r="G385" t="s">
        <v>21</v>
      </c>
      <c r="H385" t="s">
        <v>24</v>
      </c>
      <c r="I385">
        <v>39.25</v>
      </c>
      <c r="J385" s="8">
        <f t="shared" si="78"/>
        <v>1.604970230390881E-2</v>
      </c>
      <c r="K385" s="8">
        <f t="shared" si="79"/>
        <v>-0.14932813177286564</v>
      </c>
      <c r="L385">
        <f t="shared" si="71"/>
        <v>1.5839702303908812E-2</v>
      </c>
      <c r="M385">
        <f t="shared" si="80"/>
        <v>5.1815982942603055E-2</v>
      </c>
      <c r="N385" s="15">
        <v>2.1000000000000001E-4</v>
      </c>
      <c r="O385" s="8">
        <f>(I385 - MAX(I362:I385)) / MAX(I362:I385)</f>
        <v>-0.19038778877887783</v>
      </c>
      <c r="P385" s="15">
        <v>7.8299999999999995E-2</v>
      </c>
      <c r="Q385">
        <f t="shared" si="81"/>
        <v>0.88641280297130209</v>
      </c>
      <c r="R385">
        <f t="shared" si="82"/>
        <v>2.8371235590534767E-3</v>
      </c>
      <c r="S385" s="15">
        <f t="shared" si="83"/>
        <v>6.870168743788338E-2</v>
      </c>
    </row>
    <row r="386" spans="1:19" x14ac:dyDescent="0.3">
      <c r="A386" s="2">
        <v>42736</v>
      </c>
      <c r="B386">
        <v>2017</v>
      </c>
      <c r="C386">
        <v>1</v>
      </c>
      <c r="D386" s="5" t="s">
        <v>9</v>
      </c>
      <c r="E386" t="s">
        <v>21</v>
      </c>
      <c r="F386" t="s">
        <v>20</v>
      </c>
      <c r="G386" t="s">
        <v>21</v>
      </c>
      <c r="H386" t="s">
        <v>24</v>
      </c>
      <c r="I386">
        <v>41.61</v>
      </c>
      <c r="J386" s="8">
        <f t="shared" si="78"/>
        <v>6.0127388535031835E-2</v>
      </c>
      <c r="K386" s="8">
        <f t="shared" si="79"/>
        <v>-9.8179453836151453E-2</v>
      </c>
      <c r="L386">
        <f t="shared" ref="L386:L449" si="84">J386-N386</f>
        <v>5.9918388535031834E-2</v>
      </c>
      <c r="M386">
        <f t="shared" si="80"/>
        <v>0.27987390731122097</v>
      </c>
      <c r="N386" s="15">
        <v>2.0900000000000001E-4</v>
      </c>
      <c r="O386" s="8">
        <f>(I386 - MAX(I362:I386)) / MAX(I362:I386)</f>
        <v>-0.14170792079207917</v>
      </c>
      <c r="P386" s="15">
        <v>-1.8200000000000001E-2</v>
      </c>
      <c r="Q386">
        <f t="shared" si="81"/>
        <v>0.54127830201404237</v>
      </c>
      <c r="R386">
        <f t="shared" si="82"/>
        <v>1.4223753472367495E-2</v>
      </c>
      <c r="S386" s="15">
        <f t="shared" si="83"/>
        <v>6.1400061586035289E-2</v>
      </c>
    </row>
    <row r="387" spans="1:19" x14ac:dyDescent="0.3">
      <c r="A387" s="2">
        <v>42767</v>
      </c>
      <c r="B387">
        <v>2017</v>
      </c>
      <c r="C387">
        <v>2</v>
      </c>
      <c r="D387" s="5" t="s">
        <v>9</v>
      </c>
      <c r="E387" t="s">
        <v>21</v>
      </c>
      <c r="F387" t="s">
        <v>20</v>
      </c>
      <c r="G387" t="s">
        <v>21</v>
      </c>
      <c r="H387" t="s">
        <v>24</v>
      </c>
      <c r="I387">
        <v>39.369999999999997</v>
      </c>
      <c r="J387" s="8">
        <f t="shared" si="78"/>
        <v>-5.3833213169911125E-2</v>
      </c>
      <c r="K387" s="8">
        <f t="shared" si="79"/>
        <v>-0.14672735153879557</v>
      </c>
      <c r="L387">
        <f t="shared" si="84"/>
        <v>-5.4048213169911125E-2</v>
      </c>
      <c r="M387">
        <f t="shared" si="80"/>
        <v>0.39338379834814369</v>
      </c>
      <c r="N387" s="15">
        <v>2.1499999999999999E-4</v>
      </c>
      <c r="O387" s="8">
        <f>(I387 - MAX(I362:I387)) / MAX(I362:I387)</f>
        <v>-0.1879125412541254</v>
      </c>
      <c r="P387" s="15">
        <v>2.75E-2</v>
      </c>
      <c r="Q387">
        <f t="shared" si="81"/>
        <v>0.10822813755411843</v>
      </c>
      <c r="R387">
        <f t="shared" si="82"/>
        <v>2.0089844085087828E-2</v>
      </c>
      <c r="S387" s="15">
        <f t="shared" si="83"/>
        <v>5.3950366567360797E-2</v>
      </c>
    </row>
    <row r="388" spans="1:19" x14ac:dyDescent="0.3">
      <c r="A388" s="2">
        <v>42795</v>
      </c>
      <c r="B388">
        <v>2017</v>
      </c>
      <c r="C388">
        <v>3</v>
      </c>
      <c r="D388" s="5" t="s">
        <v>9</v>
      </c>
      <c r="E388" t="s">
        <v>21</v>
      </c>
      <c r="F388" t="s">
        <v>20</v>
      </c>
      <c r="G388" t="s">
        <v>21</v>
      </c>
      <c r="H388" t="s">
        <v>24</v>
      </c>
      <c r="I388">
        <v>39.880000000000003</v>
      </c>
      <c r="J388" s="8">
        <f t="shared" si="78"/>
        <v>1.2954025908051947E-2</v>
      </c>
      <c r="K388" s="8">
        <f t="shared" si="79"/>
        <v>-0.13567403554399715</v>
      </c>
      <c r="L388">
        <f t="shared" si="84"/>
        <v>1.2664025908051947E-2</v>
      </c>
      <c r="M388">
        <f t="shared" si="80"/>
        <v>0.45793251265755064</v>
      </c>
      <c r="N388" s="15">
        <v>2.9E-4</v>
      </c>
      <c r="O388" s="8">
        <f>(I388 - MAX(I362:I388)) / MAX(I362:I388)</f>
        <v>-0.17739273927392729</v>
      </c>
      <c r="P388" s="15">
        <v>5.4600000000000003E-2</v>
      </c>
      <c r="Q388">
        <f t="shared" si="81"/>
        <v>9.1217780669379536E-2</v>
      </c>
      <c r="R388">
        <f t="shared" si="82"/>
        <v>2.2792306640667379E-2</v>
      </c>
      <c r="S388" s="15">
        <f t="shared" si="83"/>
        <v>5.2428392124061168E-2</v>
      </c>
    </row>
    <row r="389" spans="1:19" x14ac:dyDescent="0.3">
      <c r="A389" s="2">
        <v>42826</v>
      </c>
      <c r="B389">
        <v>2017</v>
      </c>
      <c r="C389">
        <v>4</v>
      </c>
      <c r="D389" s="5" t="s">
        <v>9</v>
      </c>
      <c r="E389" t="s">
        <v>21</v>
      </c>
      <c r="F389" t="s">
        <v>20</v>
      </c>
      <c r="G389" t="s">
        <v>21</v>
      </c>
      <c r="H389" t="s">
        <v>24</v>
      </c>
      <c r="I389">
        <v>40.22</v>
      </c>
      <c r="J389" s="8">
        <f t="shared" si="78"/>
        <v>8.5255767301904792E-3</v>
      </c>
      <c r="K389" s="8">
        <f t="shared" si="79"/>
        <v>-0.12830515821413169</v>
      </c>
      <c r="L389">
        <f t="shared" si="84"/>
        <v>8.3375767301904786E-3</v>
      </c>
      <c r="M389">
        <f t="shared" si="80"/>
        <v>0.37281616025920872</v>
      </c>
      <c r="N389" s="15">
        <v>1.8799999999999999E-4</v>
      </c>
      <c r="O389" s="8">
        <f>(I389 - MAX(I362:I389)) / MAX(I362:I389)</f>
        <v>-0.17037953795379535</v>
      </c>
      <c r="P389" s="15">
        <v>1.6799999999999999E-2</v>
      </c>
      <c r="Q389">
        <f t="shared" si="81"/>
        <v>0.10913740028257188</v>
      </c>
      <c r="R389">
        <f t="shared" si="82"/>
        <v>1.7254361923923087E-2</v>
      </c>
      <c r="S389" s="15">
        <f t="shared" si="83"/>
        <v>5.0404853935260938E-2</v>
      </c>
    </row>
    <row r="390" spans="1:19" x14ac:dyDescent="0.3">
      <c r="A390" s="2">
        <v>42856</v>
      </c>
      <c r="B390">
        <v>2017</v>
      </c>
      <c r="C390">
        <v>5</v>
      </c>
      <c r="D390" s="5" t="s">
        <v>9</v>
      </c>
      <c r="E390" t="s">
        <v>21</v>
      </c>
      <c r="F390" t="s">
        <v>20</v>
      </c>
      <c r="G390" t="s">
        <v>21</v>
      </c>
      <c r="H390" t="s">
        <v>24</v>
      </c>
      <c r="I390">
        <v>42.48</v>
      </c>
      <c r="J390" s="8">
        <f t="shared" si="78"/>
        <v>5.6190949776230681E-2</v>
      </c>
      <c r="K390" s="8">
        <f t="shared" si="79"/>
        <v>-7.9323797139142616E-2</v>
      </c>
      <c r="L390">
        <f t="shared" si="84"/>
        <v>5.5910949776230678E-2</v>
      </c>
      <c r="M390">
        <f t="shared" si="80"/>
        <v>0.52150424858316435</v>
      </c>
      <c r="N390" s="15">
        <v>2.7999999999999998E-4</v>
      </c>
      <c r="O390" s="8">
        <f>(I390 - MAX(I362:I390)) / MAX(I362:I390)</f>
        <v>-0.12376237623762378</v>
      </c>
      <c r="P390" s="15">
        <v>-1.4E-3</v>
      </c>
      <c r="Q390">
        <f t="shared" si="81"/>
        <v>6.709346386475154E-2</v>
      </c>
      <c r="R390">
        <f t="shared" si="82"/>
        <v>2.4815404618409396E-2</v>
      </c>
      <c r="S390" s="15">
        <f t="shared" si="83"/>
        <v>4.9255396219113116E-2</v>
      </c>
    </row>
    <row r="391" spans="1:19" x14ac:dyDescent="0.3">
      <c r="A391" s="2">
        <v>42887</v>
      </c>
      <c r="B391">
        <v>2017</v>
      </c>
      <c r="C391">
        <v>6</v>
      </c>
      <c r="D391" s="5" t="s">
        <v>9</v>
      </c>
      <c r="E391" t="s">
        <v>21</v>
      </c>
      <c r="F391" t="s">
        <v>20</v>
      </c>
      <c r="G391" t="s">
        <v>21</v>
      </c>
      <c r="H391" t="s">
        <v>24</v>
      </c>
      <c r="I391">
        <v>45.32</v>
      </c>
      <c r="J391" s="8">
        <f t="shared" si="78"/>
        <v>6.685499058380423E-2</v>
      </c>
      <c r="K391" s="8">
        <f t="shared" si="79"/>
        <v>-1.7771998266147282E-2</v>
      </c>
      <c r="L391">
        <f t="shared" si="84"/>
        <v>6.6645990583804229E-2</v>
      </c>
      <c r="M391">
        <f t="shared" si="80"/>
        <v>0.73296717981381143</v>
      </c>
      <c r="N391" s="15">
        <v>2.0900000000000001E-4</v>
      </c>
      <c r="O391" s="8">
        <f>(I391 - MAX(I362:I391)) / MAX(I362:I391)</f>
        <v>-6.518151815181511E-2</v>
      </c>
      <c r="P391" s="15">
        <v>-3.1699999999999999E-2</v>
      </c>
      <c r="Q391">
        <f t="shared" si="81"/>
        <v>-0.53546185632737253</v>
      </c>
      <c r="R391">
        <f t="shared" si="82"/>
        <v>4.2558911444824425E-2</v>
      </c>
      <c r="S391" s="15">
        <f t="shared" si="83"/>
        <v>4.6567118780387114E-2</v>
      </c>
    </row>
    <row r="392" spans="1:19" x14ac:dyDescent="0.3">
      <c r="A392" s="2">
        <v>42917</v>
      </c>
      <c r="B392">
        <v>2017</v>
      </c>
      <c r="C392">
        <v>7</v>
      </c>
      <c r="D392" s="5" t="s">
        <v>9</v>
      </c>
      <c r="E392" t="s">
        <v>21</v>
      </c>
      <c r="F392" t="s">
        <v>20</v>
      </c>
      <c r="G392" t="s">
        <v>21</v>
      </c>
      <c r="H392" t="s">
        <v>24</v>
      </c>
      <c r="I392">
        <v>48.93</v>
      </c>
      <c r="J392" s="8">
        <f t="shared" si="78"/>
        <v>7.9655781112091775E-2</v>
      </c>
      <c r="K392" s="8">
        <f t="shared" si="79"/>
        <v>6.0468140442131668E-2</v>
      </c>
      <c r="L392">
        <f t="shared" si="84"/>
        <v>7.927578111209177E-2</v>
      </c>
      <c r="M392">
        <f t="shared" si="80"/>
        <v>0.76389286359183295</v>
      </c>
      <c r="N392" s="15">
        <v>3.8000000000000002E-4</v>
      </c>
      <c r="O392" s="8">
        <f>(I392 - MAX(I362:I392)) / MAX(I362:I392)</f>
        <v>0</v>
      </c>
      <c r="P392" s="15">
        <v>2.2000000000000001E-3</v>
      </c>
      <c r="Q392">
        <f t="shared" si="81"/>
        <v>-0.65665057912487235</v>
      </c>
      <c r="R392">
        <f t="shared" si="82"/>
        <v>4.4932595552636401E-2</v>
      </c>
      <c r="S392" s="15">
        <f t="shared" si="83"/>
        <v>4.8323337007236955E-2</v>
      </c>
    </row>
    <row r="393" spans="1:19" x14ac:dyDescent="0.3">
      <c r="A393" s="2">
        <v>42948</v>
      </c>
      <c r="B393">
        <v>2017</v>
      </c>
      <c r="C393">
        <v>8</v>
      </c>
      <c r="D393" s="5" t="s">
        <v>9</v>
      </c>
      <c r="E393" t="s">
        <v>21</v>
      </c>
      <c r="F393" t="s">
        <v>20</v>
      </c>
      <c r="G393" t="s">
        <v>21</v>
      </c>
      <c r="H393" t="s">
        <v>24</v>
      </c>
      <c r="I393">
        <v>47.28</v>
      </c>
      <c r="J393" s="8">
        <f t="shared" si="78"/>
        <v>-3.372164316370322E-2</v>
      </c>
      <c r="K393" s="8">
        <f t="shared" si="79"/>
        <v>2.4707412223666125E-2</v>
      </c>
      <c r="L393">
        <f t="shared" si="84"/>
        <v>-3.4009643163703217E-2</v>
      </c>
      <c r="M393">
        <f t="shared" si="80"/>
        <v>0.55421074791441427</v>
      </c>
      <c r="N393" s="15">
        <v>2.8800000000000001E-4</v>
      </c>
      <c r="O393" s="8">
        <f>(I393 - MAX(I362:I393)) / MAX(I362:I393)</f>
        <v>-3.372164316370322E-2</v>
      </c>
      <c r="P393" s="15">
        <v>-8.1000000000000013E-3</v>
      </c>
      <c r="Q393">
        <f t="shared" si="81"/>
        <v>-0.50532499624034311</v>
      </c>
      <c r="R393">
        <f t="shared" si="82"/>
        <v>2.8097054029343753E-2</v>
      </c>
      <c r="S393" s="15">
        <f t="shared" si="83"/>
        <v>4.1029306320196357E-2</v>
      </c>
    </row>
    <row r="394" spans="1:19" x14ac:dyDescent="0.3">
      <c r="A394" s="2">
        <v>42979</v>
      </c>
      <c r="B394">
        <v>2017</v>
      </c>
      <c r="C394">
        <v>9</v>
      </c>
      <c r="D394" s="5" t="s">
        <v>9</v>
      </c>
      <c r="E394" t="s">
        <v>21</v>
      </c>
      <c r="F394" t="s">
        <v>20</v>
      </c>
      <c r="G394" t="s">
        <v>21</v>
      </c>
      <c r="H394" t="s">
        <v>24</v>
      </c>
      <c r="I394">
        <v>48.27</v>
      </c>
      <c r="J394" s="8">
        <f t="shared" si="78"/>
        <v>2.0939086294416286E-2</v>
      </c>
      <c r="K394" s="8">
        <f t="shared" si="79"/>
        <v>4.6163849154745584E-2</v>
      </c>
      <c r="L394">
        <f t="shared" si="84"/>
        <v>2.0650086294416285E-2</v>
      </c>
      <c r="M394">
        <f t="shared" si="80"/>
        <v>0.57593710576042012</v>
      </c>
      <c r="N394" s="15">
        <v>2.8899999999999998E-4</v>
      </c>
      <c r="O394" s="8">
        <f>(I394 - MAX(I362:I394)) / MAX(I362:I394)</f>
        <v>-1.348865726548123E-2</v>
      </c>
      <c r="P394" s="15">
        <v>5.0700000000000002E-2</v>
      </c>
      <c r="Q394">
        <f t="shared" si="81"/>
        <v>-0.49074695997368356</v>
      </c>
      <c r="R394">
        <f t="shared" si="82"/>
        <v>3.108112523493884E-2</v>
      </c>
      <c r="S394" s="15">
        <f t="shared" si="83"/>
        <v>4.0866661672558119E-2</v>
      </c>
    </row>
    <row r="395" spans="1:19" x14ac:dyDescent="0.3">
      <c r="A395" s="2">
        <v>43009</v>
      </c>
      <c r="B395">
        <v>2017</v>
      </c>
      <c r="C395">
        <v>10</v>
      </c>
      <c r="D395" s="5" t="s">
        <v>9</v>
      </c>
      <c r="E395" t="s">
        <v>21</v>
      </c>
      <c r="F395" t="s">
        <v>20</v>
      </c>
      <c r="G395" t="s">
        <v>21</v>
      </c>
      <c r="H395" t="s">
        <v>24</v>
      </c>
      <c r="I395">
        <v>47.64</v>
      </c>
      <c r="J395" s="8">
        <f t="shared" ref="J395:J426" si="85">(I395-I394)/I394</f>
        <v>-1.3051584835301482E-2</v>
      </c>
      <c r="K395" s="8">
        <f t="shared" ref="K395:K426" si="86">(K394+1)*(J395+1)-1</f>
        <v>3.2509752925876878E-2</v>
      </c>
      <c r="L395">
        <f t="shared" si="84"/>
        <v>-1.3361584835301482E-2</v>
      </c>
      <c r="M395">
        <f t="shared" si="80"/>
        <v>0.53602647449541418</v>
      </c>
      <c r="N395" s="15">
        <v>3.1E-4</v>
      </c>
      <c r="O395" s="8">
        <f>(I395 - MAX(I362:I395)) / MAX(I362:I395)</f>
        <v>-2.6364193746167979E-2</v>
      </c>
      <c r="P395" s="15">
        <v>1.8700000000000001E-2</v>
      </c>
      <c r="Q395">
        <f t="shared" si="81"/>
        <v>-0.49610056445194378</v>
      </c>
      <c r="R395">
        <f t="shared" si="82"/>
        <v>3.0033374785174746E-2</v>
      </c>
      <c r="S395" s="15">
        <f t="shared" si="83"/>
        <v>4.1747871339293037E-2</v>
      </c>
    </row>
    <row r="396" spans="1:19" x14ac:dyDescent="0.3">
      <c r="A396" s="2">
        <v>43040</v>
      </c>
      <c r="B396">
        <v>2017</v>
      </c>
      <c r="C396">
        <v>11</v>
      </c>
      <c r="D396" s="5" t="s">
        <v>9</v>
      </c>
      <c r="E396" t="s">
        <v>21</v>
      </c>
      <c r="F396" t="s">
        <v>20</v>
      </c>
      <c r="G396" t="s">
        <v>21</v>
      </c>
      <c r="H396" t="s">
        <v>24</v>
      </c>
      <c r="I396">
        <v>48.5</v>
      </c>
      <c r="J396" s="8">
        <f t="shared" si="85"/>
        <v>1.8052057094878241E-2</v>
      </c>
      <c r="K396" s="8">
        <f t="shared" si="86"/>
        <v>5.1148677936713627E-2</v>
      </c>
      <c r="L396">
        <f t="shared" si="84"/>
        <v>1.779505709487824E-2</v>
      </c>
      <c r="M396">
        <f t="shared" si="80"/>
        <v>0.48132005197880889</v>
      </c>
      <c r="N396" s="15">
        <v>2.5700000000000001E-4</v>
      </c>
      <c r="O396" s="8">
        <f>(I396 - MAX(I362:I396)) / MAX(I362:I396)</f>
        <v>-8.7880645820559919E-3</v>
      </c>
      <c r="P396" s="15">
        <v>-2.52E-2</v>
      </c>
      <c r="Q396">
        <f t="shared" si="81"/>
        <v>-0.398000460276839</v>
      </c>
      <c r="R396">
        <f t="shared" si="82"/>
        <v>2.4977170109065028E-2</v>
      </c>
      <c r="S396" s="15">
        <f t="shared" si="83"/>
        <v>4.0793735928414024E-2</v>
      </c>
    </row>
    <row r="397" spans="1:19" x14ac:dyDescent="0.3">
      <c r="A397" s="2">
        <v>43070</v>
      </c>
      <c r="B397">
        <v>2017</v>
      </c>
      <c r="C397">
        <v>12</v>
      </c>
      <c r="D397" s="5" t="s">
        <v>9</v>
      </c>
      <c r="E397" t="s">
        <v>21</v>
      </c>
      <c r="F397" t="s">
        <v>20</v>
      </c>
      <c r="G397" t="s">
        <v>21</v>
      </c>
      <c r="H397" t="s">
        <v>24</v>
      </c>
      <c r="I397">
        <v>50.45</v>
      </c>
      <c r="J397" s="8">
        <f t="shared" si="85"/>
        <v>4.0206185567010368E-2</v>
      </c>
      <c r="K397" s="8">
        <f t="shared" si="86"/>
        <v>9.3411356740354723E-2</v>
      </c>
      <c r="L397">
        <f t="shared" si="84"/>
        <v>3.995918556701037E-2</v>
      </c>
      <c r="M397">
        <f t="shared" si="80"/>
        <v>0.52560284100179244</v>
      </c>
      <c r="N397" s="15">
        <v>2.4699999999999999E-4</v>
      </c>
      <c r="O397" s="8">
        <f>(I397 - MAX(I362:I397)) / MAX(I362:I397)</f>
        <v>0</v>
      </c>
      <c r="P397" s="15">
        <v>-1.8499999999999999E-2</v>
      </c>
      <c r="Q397">
        <f t="shared" si="81"/>
        <v>-0.59590207719025945</v>
      </c>
      <c r="R397">
        <f t="shared" si="82"/>
        <v>2.4834763172278163E-2</v>
      </c>
      <c r="S397" s="15">
        <f t="shared" si="83"/>
        <v>4.1180903807161932E-2</v>
      </c>
    </row>
    <row r="398" spans="1:19" x14ac:dyDescent="0.3">
      <c r="A398" s="2">
        <v>43101</v>
      </c>
      <c r="B398">
        <v>2018</v>
      </c>
      <c r="C398">
        <v>1</v>
      </c>
      <c r="D398" s="5" t="s">
        <v>9</v>
      </c>
      <c r="E398" t="s">
        <v>21</v>
      </c>
      <c r="F398" t="s">
        <v>20</v>
      </c>
      <c r="G398" t="s">
        <v>21</v>
      </c>
      <c r="H398" t="s">
        <v>24</v>
      </c>
      <c r="I398">
        <v>52.66</v>
      </c>
      <c r="J398" s="8">
        <f t="shared" si="85"/>
        <v>4.3805748265609387E-2</v>
      </c>
      <c r="K398" s="8">
        <f t="shared" si="86"/>
        <v>0.14130905938448102</v>
      </c>
      <c r="L398">
        <f t="shared" si="84"/>
        <v>4.3410748265609388E-2</v>
      </c>
      <c r="M398">
        <f t="shared" si="80"/>
        <v>0.50599455803176707</v>
      </c>
      <c r="N398" s="15">
        <v>3.9500000000000001E-4</v>
      </c>
      <c r="O398" s="8">
        <f>(I398 - MAX(I362:I398)) / MAX(I362:I398)</f>
        <v>0</v>
      </c>
      <c r="P398" s="15">
        <v>3.0099999999999998E-2</v>
      </c>
      <c r="Q398">
        <f t="shared" si="81"/>
        <v>-0.43478352415190819</v>
      </c>
      <c r="R398">
        <f t="shared" si="82"/>
        <v>2.4339896555740231E-2</v>
      </c>
      <c r="S398" s="15">
        <f t="shared" si="83"/>
        <v>4.0058065892627191E-2</v>
      </c>
    </row>
    <row r="399" spans="1:19" x14ac:dyDescent="0.3">
      <c r="A399" s="2">
        <v>43132</v>
      </c>
      <c r="B399">
        <v>2018</v>
      </c>
      <c r="C399">
        <v>2</v>
      </c>
      <c r="D399" s="5" t="s">
        <v>9</v>
      </c>
      <c r="E399" t="s">
        <v>21</v>
      </c>
      <c r="F399" t="s">
        <v>20</v>
      </c>
      <c r="G399" t="s">
        <v>21</v>
      </c>
      <c r="H399" t="s">
        <v>24</v>
      </c>
      <c r="I399">
        <v>48.48</v>
      </c>
      <c r="J399" s="8">
        <f t="shared" si="85"/>
        <v>-7.9377136346372959E-2</v>
      </c>
      <c r="K399" s="8">
        <f t="shared" si="86"/>
        <v>5.0715214564368338E-2</v>
      </c>
      <c r="L399">
        <f t="shared" si="84"/>
        <v>-7.9926136346372953E-2</v>
      </c>
      <c r="M399">
        <f t="shared" si="80"/>
        <v>0.40455914947028637</v>
      </c>
      <c r="N399" s="15">
        <v>5.4900000000000001E-4</v>
      </c>
      <c r="O399" s="8">
        <f>(I399 - MAX(I362:I399)) / MAX(I362:I399)</f>
        <v>-7.9377136346372959E-2</v>
      </c>
      <c r="P399" s="15">
        <v>-4.7199999999999999E-2</v>
      </c>
      <c r="Q399">
        <f t="shared" si="81"/>
        <v>0.26974083716260089</v>
      </c>
      <c r="R399">
        <f t="shared" si="82"/>
        <v>1.7273820702139321E-2</v>
      </c>
      <c r="S399" s="15">
        <f t="shared" si="83"/>
        <v>4.4771375885639529E-2</v>
      </c>
    </row>
    <row r="400" spans="1:19" x14ac:dyDescent="0.3">
      <c r="A400" s="2">
        <v>43160</v>
      </c>
      <c r="B400">
        <v>2018</v>
      </c>
      <c r="C400">
        <v>3</v>
      </c>
      <c r="D400" s="5" t="s">
        <v>9</v>
      </c>
      <c r="E400" t="s">
        <v>21</v>
      </c>
      <c r="F400" t="s">
        <v>20</v>
      </c>
      <c r="G400" t="s">
        <v>21</v>
      </c>
      <c r="H400" t="s">
        <v>24</v>
      </c>
      <c r="I400">
        <v>46.57</v>
      </c>
      <c r="J400" s="8">
        <f t="shared" si="85"/>
        <v>-3.9397689768976833E-2</v>
      </c>
      <c r="K400" s="8">
        <f t="shared" si="86"/>
        <v>9.3194625054173752E-3</v>
      </c>
      <c r="L400">
        <f t="shared" si="84"/>
        <v>-3.983868976897683E-2</v>
      </c>
      <c r="M400">
        <f t="shared" si="80"/>
        <v>0.2873910034925663</v>
      </c>
      <c r="N400" s="15">
        <v>4.4099999999999999E-4</v>
      </c>
      <c r="O400" s="8">
        <f>(I400 - MAX(I362:I400)) / MAX(I362:I400)</f>
        <v>-0.11564755032282562</v>
      </c>
      <c r="P400" s="15">
        <v>-2.2499999999999999E-2</v>
      </c>
      <c r="Q400">
        <f t="shared" si="81"/>
        <v>0.50879192319882049</v>
      </c>
      <c r="R400">
        <f t="shared" si="82"/>
        <v>1.5430575764914623E-2</v>
      </c>
      <c r="S400" s="15">
        <f t="shared" si="83"/>
        <v>4.7800534030443591E-2</v>
      </c>
    </row>
    <row r="401" spans="1:19" x14ac:dyDescent="0.3">
      <c r="A401" s="2">
        <v>43191</v>
      </c>
      <c r="B401">
        <v>2018</v>
      </c>
      <c r="C401">
        <v>4</v>
      </c>
      <c r="D401" s="5" t="s">
        <v>9</v>
      </c>
      <c r="E401" t="s">
        <v>21</v>
      </c>
      <c r="F401" t="s">
        <v>20</v>
      </c>
      <c r="G401" t="s">
        <v>21</v>
      </c>
      <c r="H401" t="s">
        <v>24</v>
      </c>
      <c r="I401">
        <v>49.1</v>
      </c>
      <c r="J401" s="8">
        <f t="shared" si="85"/>
        <v>5.4326819841099445E-2</v>
      </c>
      <c r="K401" s="8">
        <f t="shared" si="86"/>
        <v>6.4152579107064511E-2</v>
      </c>
      <c r="L401">
        <f t="shared" si="84"/>
        <v>5.3926819841099448E-2</v>
      </c>
      <c r="M401">
        <f t="shared" si="80"/>
        <v>0.35695021371837932</v>
      </c>
      <c r="N401" s="15">
        <v>4.0000000000000002E-4</v>
      </c>
      <c r="O401" s="8">
        <f>(I401 - MAX(I362:I401)) / MAX(I362:I401)</f>
        <v>-6.76034941131788E-2</v>
      </c>
      <c r="P401" s="15">
        <v>5.21E-2</v>
      </c>
      <c r="Q401">
        <f t="shared" si="81"/>
        <v>0.58835139909229306</v>
      </c>
      <c r="R401">
        <f t="shared" si="82"/>
        <v>1.7774093912449006E-2</v>
      </c>
      <c r="S401" s="15">
        <f t="shared" si="83"/>
        <v>4.9128831868136061E-2</v>
      </c>
    </row>
    <row r="402" spans="1:19" x14ac:dyDescent="0.3">
      <c r="A402" s="2">
        <v>43221</v>
      </c>
      <c r="B402">
        <v>2018</v>
      </c>
      <c r="C402">
        <v>5</v>
      </c>
      <c r="D402" s="5" t="s">
        <v>9</v>
      </c>
      <c r="E402" t="s">
        <v>21</v>
      </c>
      <c r="F402" t="s">
        <v>20</v>
      </c>
      <c r="G402" t="s">
        <v>21</v>
      </c>
      <c r="H402" t="s">
        <v>24</v>
      </c>
      <c r="I402">
        <v>47.26</v>
      </c>
      <c r="J402" s="8">
        <f t="shared" si="85"/>
        <v>-3.7474541751527563E-2</v>
      </c>
      <c r="K402" s="8">
        <f t="shared" si="86"/>
        <v>2.4273948851321059E-2</v>
      </c>
      <c r="L402">
        <f t="shared" si="84"/>
        <v>-3.7849541751527563E-2</v>
      </c>
      <c r="M402">
        <f t="shared" si="80"/>
        <v>0.1947676556628149</v>
      </c>
      <c r="N402" s="15">
        <v>3.7500000000000001E-4</v>
      </c>
      <c r="O402" s="8">
        <f>(I402 - MAX(I362:I402)) / MAX(I362:I402)</f>
        <v>-0.1025446259020129</v>
      </c>
      <c r="P402" s="15">
        <v>-3.6700000000000003E-2</v>
      </c>
      <c r="Q402">
        <f t="shared" si="81"/>
        <v>0.67395948666449235</v>
      </c>
      <c r="R402">
        <f t="shared" si="82"/>
        <v>1.1983183553033903E-2</v>
      </c>
      <c r="S402" s="15">
        <f t="shared" si="83"/>
        <v>4.9921906735472359E-2</v>
      </c>
    </row>
    <row r="403" spans="1:19" x14ac:dyDescent="0.3">
      <c r="A403" s="2">
        <v>43252</v>
      </c>
      <c r="B403">
        <v>2018</v>
      </c>
      <c r="C403">
        <v>6</v>
      </c>
      <c r="D403" s="5" t="s">
        <v>9</v>
      </c>
      <c r="E403" t="s">
        <v>21</v>
      </c>
      <c r="F403" t="s">
        <v>20</v>
      </c>
      <c r="G403" t="s">
        <v>21</v>
      </c>
      <c r="H403" t="s">
        <v>24</v>
      </c>
      <c r="I403">
        <v>46.05</v>
      </c>
      <c r="J403" s="8">
        <f t="shared" si="85"/>
        <v>-2.5603046974185376E-2</v>
      </c>
      <c r="K403" s="8">
        <f t="shared" si="86"/>
        <v>-1.9505851755536874E-3</v>
      </c>
      <c r="L403">
        <f t="shared" si="84"/>
        <v>-2.5876046974185374E-2</v>
      </c>
      <c r="M403">
        <f t="shared" si="80"/>
        <v>4.2438270949414075E-2</v>
      </c>
      <c r="N403" s="15">
        <v>2.7300000000000002E-4</v>
      </c>
      <c r="O403" s="8">
        <f>(I403 - MAX(I362:I403)) / MAX(I362:I403)</f>
        <v>-0.12552221800227878</v>
      </c>
      <c r="P403" s="15">
        <v>-3.2000000000000002E-3</v>
      </c>
      <c r="Q403">
        <f t="shared" si="81"/>
        <v>0.88433994072473454</v>
      </c>
      <c r="R403">
        <f t="shared" si="82"/>
        <v>2.8828986662794032E-3</v>
      </c>
      <c r="S403" s="15">
        <f t="shared" si="83"/>
        <v>4.7433670117851455E-2</v>
      </c>
    </row>
    <row r="404" spans="1:19" x14ac:dyDescent="0.3">
      <c r="A404" s="2">
        <v>43282</v>
      </c>
      <c r="B404">
        <v>2018</v>
      </c>
      <c r="C404">
        <v>7</v>
      </c>
      <c r="D404" s="5" t="s">
        <v>9</v>
      </c>
      <c r="E404" t="s">
        <v>21</v>
      </c>
      <c r="F404" t="s">
        <v>20</v>
      </c>
      <c r="G404" t="s">
        <v>21</v>
      </c>
      <c r="H404" t="s">
        <v>24</v>
      </c>
      <c r="I404">
        <v>47.3</v>
      </c>
      <c r="J404" s="8">
        <f t="shared" si="85"/>
        <v>2.714440825190011E-2</v>
      </c>
      <c r="K404" s="8">
        <f t="shared" si="86"/>
        <v>2.5140875596011192E-2</v>
      </c>
      <c r="L404">
        <f t="shared" si="84"/>
        <v>2.691540825190011E-2</v>
      </c>
      <c r="M404">
        <f t="shared" si="80"/>
        <v>-5.6316663613496541E-2</v>
      </c>
      <c r="N404" s="15">
        <v>2.2900000000000001E-4</v>
      </c>
      <c r="O404" s="8">
        <f>(I404 - MAX(I362:I404)) / MAX(I362:I404)</f>
        <v>-0.10178503608051652</v>
      </c>
      <c r="P404" s="15">
        <v>3.8300000000000001E-2</v>
      </c>
      <c r="Q404">
        <f t="shared" si="81"/>
        <v>0.85882648942484663</v>
      </c>
      <c r="R404">
        <f t="shared" si="82"/>
        <v>-4.1000057260102349E-3</v>
      </c>
      <c r="S404" s="15">
        <f t="shared" si="83"/>
        <v>4.1734742607624775E-2</v>
      </c>
    </row>
    <row r="405" spans="1:19" x14ac:dyDescent="0.3">
      <c r="A405" s="2">
        <v>43313</v>
      </c>
      <c r="B405">
        <v>2018</v>
      </c>
      <c r="C405">
        <v>8</v>
      </c>
      <c r="D405" s="5" t="s">
        <v>9</v>
      </c>
      <c r="E405" t="s">
        <v>21</v>
      </c>
      <c r="F405" t="s">
        <v>20</v>
      </c>
      <c r="G405" t="s">
        <v>21</v>
      </c>
      <c r="H405" t="s">
        <v>24</v>
      </c>
      <c r="I405">
        <v>42.99</v>
      </c>
      <c r="J405" s="8">
        <f t="shared" si="85"/>
        <v>-9.1120507399577069E-2</v>
      </c>
      <c r="K405" s="8">
        <f t="shared" si="86"/>
        <v>-6.8270481144344086E-2</v>
      </c>
      <c r="L405">
        <f t="shared" si="84"/>
        <v>-9.1362507399577075E-2</v>
      </c>
      <c r="M405">
        <f t="shared" ref="M405:M436" si="87">(AVERAGE(J394:J405)-AVERAGE(N394:N405))/STDEV(J394:J405)</f>
        <v>-0.14716162499801871</v>
      </c>
      <c r="N405" s="15">
        <v>2.42E-4</v>
      </c>
      <c r="O405" s="8">
        <f>(I405 - MAX(I362:I405)) / MAX(I362:I405)</f>
        <v>-0.18363083934675267</v>
      </c>
      <c r="P405" s="15">
        <v>-3.7599999999999988E-2</v>
      </c>
      <c r="Q405">
        <f t="shared" ref="Q405:Q436" si="88" xml:space="preserve"> _xlfn.COVARIANCE.P(J394:J405, P394:P405) / _xlfn.VAR.P(P394:P405)</f>
        <v>0.98808702118611502</v>
      </c>
      <c r="R405">
        <f t="shared" ref="R405:R436" si="89">AVERAGE(J394:J405)-(AVERAGE(N394:N405)+Q405*(AVERAGE(P394:P405)-AVERAGE(N394:N405)))</f>
        <v>-6.7174875038290491E-3</v>
      </c>
      <c r="S405" s="15">
        <f t="shared" ref="S405:S436" si="90">STDEV(J394:J405)</f>
        <v>4.8448546375557788E-2</v>
      </c>
    </row>
    <row r="406" spans="1:19" x14ac:dyDescent="0.3">
      <c r="A406" s="2">
        <v>43344</v>
      </c>
      <c r="B406">
        <v>2018</v>
      </c>
      <c r="C406">
        <v>9</v>
      </c>
      <c r="D406" s="5" t="s">
        <v>9</v>
      </c>
      <c r="E406" t="s">
        <v>21</v>
      </c>
      <c r="F406" t="s">
        <v>20</v>
      </c>
      <c r="G406" t="s">
        <v>21</v>
      </c>
      <c r="H406" t="s">
        <v>24</v>
      </c>
      <c r="I406">
        <v>42.97</v>
      </c>
      <c r="J406" s="8">
        <f t="shared" si="85"/>
        <v>-4.6522447080723714E-4</v>
      </c>
      <c r="K406" s="8">
        <f t="shared" si="86"/>
        <v>-6.8703944516689153E-2</v>
      </c>
      <c r="L406">
        <f t="shared" si="84"/>
        <v>-7.7422447080723717E-4</v>
      </c>
      <c r="M406">
        <f t="shared" si="87"/>
        <v>-0.18680903012515587</v>
      </c>
      <c r="N406" s="15">
        <v>3.0899999999999998E-4</v>
      </c>
      <c r="O406" s="8">
        <f>(I406 - MAX(I362:I406)) / MAX(I362:I406)</f>
        <v>-0.18401063425750092</v>
      </c>
      <c r="P406" s="15">
        <v>1.9E-3</v>
      </c>
      <c r="Q406">
        <f t="shared" si="88"/>
        <v>1.0954140013757006</v>
      </c>
      <c r="R406">
        <f t="shared" si="89"/>
        <v>-4.001555256183429E-3</v>
      </c>
      <c r="S406" s="15">
        <f t="shared" si="90"/>
        <v>4.7723207159104719E-2</v>
      </c>
    </row>
    <row r="407" spans="1:19" x14ac:dyDescent="0.3">
      <c r="A407" s="2">
        <v>43374</v>
      </c>
      <c r="B407">
        <v>2018</v>
      </c>
      <c r="C407">
        <v>10</v>
      </c>
      <c r="D407" s="5" t="s">
        <v>9</v>
      </c>
      <c r="E407" t="s">
        <v>21</v>
      </c>
      <c r="F407" t="s">
        <v>20</v>
      </c>
      <c r="G407" t="s">
        <v>21</v>
      </c>
      <c r="H407" t="s">
        <v>24</v>
      </c>
      <c r="I407">
        <v>40.14</v>
      </c>
      <c r="J407" s="8">
        <f t="shared" si="85"/>
        <v>-6.5859902257388844E-2</v>
      </c>
      <c r="K407" s="8">
        <f t="shared" si="86"/>
        <v>-0.13003901170351173</v>
      </c>
      <c r="L407">
        <f t="shared" si="84"/>
        <v>-6.6192902257388844E-2</v>
      </c>
      <c r="M407">
        <f t="shared" si="87"/>
        <v>-0.26358393206554998</v>
      </c>
      <c r="N407" s="15">
        <v>3.3300000000000002E-4</v>
      </c>
      <c r="O407" s="8">
        <f>(I407 - MAX(I362:I407)) / MAX(I362:I407)</f>
        <v>-0.23775161412837062</v>
      </c>
      <c r="P407" s="15">
        <v>-5.9299999999999999E-2</v>
      </c>
      <c r="Q407">
        <f t="shared" si="88"/>
        <v>1.1473881482084078</v>
      </c>
      <c r="R407">
        <f t="shared" si="89"/>
        <v>-7.108085505883148E-4</v>
      </c>
      <c r="S407" s="15">
        <f t="shared" si="90"/>
        <v>5.0525598145019869E-2</v>
      </c>
    </row>
    <row r="408" spans="1:19" x14ac:dyDescent="0.3">
      <c r="A408" s="2">
        <v>43405</v>
      </c>
      <c r="B408">
        <v>2018</v>
      </c>
      <c r="C408">
        <v>11</v>
      </c>
      <c r="D408" s="5" t="s">
        <v>9</v>
      </c>
      <c r="E408" t="s">
        <v>21</v>
      </c>
      <c r="F408" t="s">
        <v>20</v>
      </c>
      <c r="G408" t="s">
        <v>21</v>
      </c>
      <c r="H408" t="s">
        <v>24</v>
      </c>
      <c r="I408">
        <v>41.56</v>
      </c>
      <c r="J408" s="8">
        <f t="shared" si="85"/>
        <v>3.5376183358246181E-2</v>
      </c>
      <c r="K408" s="8">
        <f t="shared" si="86"/>
        <v>-9.926311226701412E-2</v>
      </c>
      <c r="L408">
        <f t="shared" si="84"/>
        <v>3.5114183358246183E-2</v>
      </c>
      <c r="M408">
        <f t="shared" si="87"/>
        <v>-0.22956431443795805</v>
      </c>
      <c r="N408" s="15">
        <v>2.6200000000000003E-4</v>
      </c>
      <c r="O408" s="8">
        <f>(I408 - MAX(I362:I408)) / MAX(I362:I408)</f>
        <v>-0.21078617546524867</v>
      </c>
      <c r="P408" s="15">
        <v>-7.6E-3</v>
      </c>
      <c r="Q408">
        <f t="shared" si="88"/>
        <v>1.2092713296142548</v>
      </c>
      <c r="R408">
        <f t="shared" si="89"/>
        <v>-3.6070065999114186E-4</v>
      </c>
      <c r="S408" s="15">
        <f t="shared" si="90"/>
        <v>5.1726137558239939E-2</v>
      </c>
    </row>
    <row r="409" spans="1:19" x14ac:dyDescent="0.3">
      <c r="A409" s="2">
        <v>43435</v>
      </c>
      <c r="B409">
        <v>2018</v>
      </c>
      <c r="C409">
        <v>12</v>
      </c>
      <c r="D409" s="5" t="s">
        <v>9</v>
      </c>
      <c r="E409" t="s">
        <v>21</v>
      </c>
      <c r="F409" t="s">
        <v>20</v>
      </c>
      <c r="G409" t="s">
        <v>21</v>
      </c>
      <c r="H409" t="s">
        <v>24</v>
      </c>
      <c r="I409">
        <v>40.159999999999997</v>
      </c>
      <c r="J409" s="8">
        <f t="shared" si="85"/>
        <v>-3.3686236766121404E-2</v>
      </c>
      <c r="K409" s="8">
        <f t="shared" si="86"/>
        <v>-0.12960554833116678</v>
      </c>
      <c r="L409">
        <f t="shared" si="84"/>
        <v>-3.3842236766121407E-2</v>
      </c>
      <c r="M409">
        <f t="shared" si="87"/>
        <v>-0.36523885122927535</v>
      </c>
      <c r="N409" s="15">
        <v>1.56E-4</v>
      </c>
      <c r="O409" s="8">
        <f>(I409 - MAX(I362:I409)) / MAX(I362:I409)</f>
        <v>-0.23737181921762249</v>
      </c>
      <c r="P409" s="15">
        <v>-5.8799999999999998E-2</v>
      </c>
      <c r="Q409">
        <f t="shared" si="88"/>
        <v>1.1218851805524634</v>
      </c>
      <c r="R409">
        <f t="shared" si="89"/>
        <v>-3.5836877907705414E-3</v>
      </c>
      <c r="S409" s="15">
        <f t="shared" si="90"/>
        <v>4.935015476633145E-2</v>
      </c>
    </row>
    <row r="410" spans="1:19" x14ac:dyDescent="0.3">
      <c r="A410" s="2">
        <v>43466</v>
      </c>
      <c r="B410">
        <v>2019</v>
      </c>
      <c r="C410">
        <v>1</v>
      </c>
      <c r="D410" s="5" t="s">
        <v>9</v>
      </c>
      <c r="E410" t="s">
        <v>21</v>
      </c>
      <c r="F410" t="s">
        <v>20</v>
      </c>
      <c r="G410" t="s">
        <v>21</v>
      </c>
      <c r="H410" t="s">
        <v>24</v>
      </c>
      <c r="I410">
        <v>41.16</v>
      </c>
      <c r="J410" s="8">
        <f t="shared" si="85"/>
        <v>2.4900398406374504E-2</v>
      </c>
      <c r="K410" s="8">
        <f t="shared" si="86"/>
        <v>-0.10793237971391501</v>
      </c>
      <c r="L410">
        <f t="shared" si="84"/>
        <v>2.4789398406374504E-2</v>
      </c>
      <c r="M410">
        <f t="shared" si="87"/>
        <v>-0.41235574250148377</v>
      </c>
      <c r="N410" s="15">
        <v>1.11E-4</v>
      </c>
      <c r="O410" s="8">
        <f>(I410 - MAX(I362:I410)) / MAX(I362:I410)</f>
        <v>-0.2183820736802127</v>
      </c>
      <c r="P410" s="15">
        <v>5.79E-2</v>
      </c>
      <c r="Q410">
        <f t="shared" si="88"/>
        <v>0.96072884556757354</v>
      </c>
      <c r="R410">
        <f t="shared" si="89"/>
        <v>-9.458297031208927E-3</v>
      </c>
      <c r="S410" s="15">
        <f t="shared" si="90"/>
        <v>4.7474476458170448E-2</v>
      </c>
    </row>
    <row r="411" spans="1:19" x14ac:dyDescent="0.3">
      <c r="A411" s="2">
        <v>43497</v>
      </c>
      <c r="B411">
        <v>2019</v>
      </c>
      <c r="C411">
        <v>2</v>
      </c>
      <c r="D411" s="5" t="s">
        <v>9</v>
      </c>
      <c r="E411" t="s">
        <v>21</v>
      </c>
      <c r="F411" t="s">
        <v>20</v>
      </c>
      <c r="G411" t="s">
        <v>21</v>
      </c>
      <c r="H411" t="s">
        <v>24</v>
      </c>
      <c r="I411">
        <v>39.89</v>
      </c>
      <c r="J411" s="8">
        <f t="shared" si="85"/>
        <v>-3.0855199222546068E-2</v>
      </c>
      <c r="K411" s="8">
        <f t="shared" si="86"/>
        <v>-0.13545730385782473</v>
      </c>
      <c r="L411">
        <f t="shared" si="84"/>
        <v>-3.0901199222546069E-2</v>
      </c>
      <c r="M411">
        <f t="shared" si="87"/>
        <v>-0.3535545873767299</v>
      </c>
      <c r="N411" s="15">
        <v>4.6E-5</v>
      </c>
      <c r="O411" s="8">
        <f>(I411 - MAX(I362:I411)) / MAX(I362:I411)</f>
        <v>-0.24249905051272308</v>
      </c>
      <c r="P411" s="15">
        <v>4.3899999999999988E-2</v>
      </c>
      <c r="Q411">
        <f t="shared" si="88"/>
        <v>0.75481531316996542</v>
      </c>
      <c r="R411">
        <f t="shared" si="89"/>
        <v>-1.3303443883949854E-2</v>
      </c>
      <c r="S411" s="15">
        <f t="shared" si="90"/>
        <v>4.381490755849287E-2</v>
      </c>
    </row>
    <row r="412" spans="1:19" x14ac:dyDescent="0.3">
      <c r="A412" s="2">
        <v>43525</v>
      </c>
      <c r="B412">
        <v>2019</v>
      </c>
      <c r="C412">
        <v>3</v>
      </c>
      <c r="D412" s="5" t="s">
        <v>9</v>
      </c>
      <c r="E412" t="s">
        <v>21</v>
      </c>
      <c r="F412" t="s">
        <v>20</v>
      </c>
      <c r="G412" t="s">
        <v>21</v>
      </c>
      <c r="H412" t="s">
        <v>24</v>
      </c>
      <c r="I412">
        <v>39.64</v>
      </c>
      <c r="J412" s="8">
        <f t="shared" si="85"/>
        <v>-6.2672348959639003E-3</v>
      </c>
      <c r="K412" s="8">
        <f t="shared" si="86"/>
        <v>-0.14087559601213773</v>
      </c>
      <c r="L412">
        <f t="shared" si="84"/>
        <v>-6.2762348959639006E-3</v>
      </c>
      <c r="M412">
        <f t="shared" si="87"/>
        <v>-0.29389406909988619</v>
      </c>
      <c r="N412" s="15">
        <v>9.0000000000000002E-6</v>
      </c>
      <c r="O412" s="8">
        <f>(I412 - MAX(I362:I412)) / MAX(I362:I412)</f>
        <v>-0.24724648689707551</v>
      </c>
      <c r="P412" s="15">
        <v>1.6199999999999999E-2</v>
      </c>
      <c r="Q412">
        <f t="shared" si="88"/>
        <v>0.73976137767537953</v>
      </c>
      <c r="R412">
        <f t="shared" si="89"/>
        <v>-1.2962562056689454E-2</v>
      </c>
      <c r="S412" s="15">
        <f t="shared" si="90"/>
        <v>4.3192740711825682E-2</v>
      </c>
    </row>
    <row r="413" spans="1:19" x14ac:dyDescent="0.3">
      <c r="A413" s="2">
        <v>43556</v>
      </c>
      <c r="B413">
        <v>2019</v>
      </c>
      <c r="C413">
        <v>4</v>
      </c>
      <c r="D413" s="5" t="s">
        <v>9</v>
      </c>
      <c r="E413" t="s">
        <v>21</v>
      </c>
      <c r="F413" t="s">
        <v>20</v>
      </c>
      <c r="G413" t="s">
        <v>21</v>
      </c>
      <c r="H413" t="s">
        <v>24</v>
      </c>
      <c r="I413">
        <v>42.56</v>
      </c>
      <c r="J413" s="8">
        <f t="shared" si="85"/>
        <v>7.366296670030277E-2</v>
      </c>
      <c r="K413" s="8">
        <f t="shared" si="86"/>
        <v>-7.758994364976235E-2</v>
      </c>
      <c r="L413">
        <f t="shared" si="84"/>
        <v>7.3695966700302776E-2</v>
      </c>
      <c r="M413">
        <f t="shared" si="87"/>
        <v>-0.23926508516488049</v>
      </c>
      <c r="N413" s="15">
        <v>-3.3000000000000003E-5</v>
      </c>
      <c r="O413" s="8">
        <f>(I413 - MAX(I362:I413)) / MAX(I362:I413)</f>
        <v>-0.19179642992783888</v>
      </c>
      <c r="P413" s="15">
        <v>4.8599999999999997E-2</v>
      </c>
      <c r="Q413">
        <f t="shared" si="88"/>
        <v>0.78975003842559732</v>
      </c>
      <c r="R413">
        <f t="shared" si="89"/>
        <v>-1.1131427922565502E-2</v>
      </c>
      <c r="S413" s="15">
        <f t="shared" si="90"/>
        <v>4.6169132495151831E-2</v>
      </c>
    </row>
    <row r="414" spans="1:19" x14ac:dyDescent="0.3">
      <c r="A414" s="2">
        <v>43586</v>
      </c>
      <c r="B414">
        <v>2019</v>
      </c>
      <c r="C414">
        <v>5</v>
      </c>
      <c r="D414" s="5" t="s">
        <v>9</v>
      </c>
      <c r="E414" t="s">
        <v>21</v>
      </c>
      <c r="F414" t="s">
        <v>20</v>
      </c>
      <c r="G414" t="s">
        <v>21</v>
      </c>
      <c r="H414" t="s">
        <v>24</v>
      </c>
      <c r="I414">
        <v>39.83</v>
      </c>
      <c r="J414" s="8">
        <f t="shared" si="85"/>
        <v>-6.4144736842105352E-2</v>
      </c>
      <c r="K414" s="8">
        <f t="shared" si="86"/>
        <v>-0.13675769397485993</v>
      </c>
      <c r="L414">
        <f t="shared" si="84"/>
        <v>-6.4032736842105351E-2</v>
      </c>
      <c r="M414">
        <f t="shared" si="87"/>
        <v>-0.27464669286871524</v>
      </c>
      <c r="N414" s="15">
        <v>-1.12E-4</v>
      </c>
      <c r="O414" s="8">
        <f>(I414 - MAX(I362:I414)) / MAX(I362:I414)</f>
        <v>-0.2436384352449677</v>
      </c>
      <c r="P414" s="15">
        <v>-6.6600000000000006E-2</v>
      </c>
      <c r="Q414">
        <f t="shared" si="88"/>
        <v>0.79511423812796478</v>
      </c>
      <c r="R414">
        <f t="shared" si="89"/>
        <v>-1.1365045347043554E-2</v>
      </c>
      <c r="S414" s="15">
        <f t="shared" si="90"/>
        <v>4.8165860671693636E-2</v>
      </c>
    </row>
    <row r="415" spans="1:19" x14ac:dyDescent="0.3">
      <c r="A415" s="2">
        <v>43617</v>
      </c>
      <c r="B415">
        <v>2019</v>
      </c>
      <c r="C415">
        <v>6</v>
      </c>
      <c r="D415" s="5" t="s">
        <v>9</v>
      </c>
      <c r="E415" t="s">
        <v>21</v>
      </c>
      <c r="F415" t="s">
        <v>20</v>
      </c>
      <c r="G415" t="s">
        <v>21</v>
      </c>
      <c r="H415" t="s">
        <v>24</v>
      </c>
      <c r="I415">
        <v>40.770000000000003</v>
      </c>
      <c r="J415" s="8">
        <f t="shared" si="85"/>
        <v>2.3600301280442E-2</v>
      </c>
      <c r="K415" s="8">
        <f t="shared" si="86"/>
        <v>-0.11638491547464314</v>
      </c>
      <c r="L415">
        <f t="shared" si="84"/>
        <v>2.3863301280441999E-2</v>
      </c>
      <c r="M415">
        <f t="shared" si="87"/>
        <v>-0.18504815098325447</v>
      </c>
      <c r="N415" s="15">
        <v>-2.63E-4</v>
      </c>
      <c r="O415" s="8">
        <f>(I415 - MAX(I362:I415)) / MAX(I362:I415)</f>
        <v>-0.22578807443980239</v>
      </c>
      <c r="P415" s="15">
        <v>5.8899999999999987E-2</v>
      </c>
      <c r="Q415">
        <f t="shared" si="88"/>
        <v>0.76631421561617585</v>
      </c>
      <c r="R415">
        <f t="shared" si="89"/>
        <v>-1.1287504479364512E-2</v>
      </c>
      <c r="S415" s="15">
        <f t="shared" si="90"/>
        <v>4.9088027124315141E-2</v>
      </c>
    </row>
    <row r="416" spans="1:19" x14ac:dyDescent="0.3">
      <c r="A416" s="2">
        <v>43647</v>
      </c>
      <c r="B416">
        <v>2019</v>
      </c>
      <c r="C416">
        <v>7</v>
      </c>
      <c r="D416" s="5" t="s">
        <v>9</v>
      </c>
      <c r="E416" t="s">
        <v>21</v>
      </c>
      <c r="F416" t="s">
        <v>20</v>
      </c>
      <c r="G416" t="s">
        <v>21</v>
      </c>
      <c r="H416" t="s">
        <v>24</v>
      </c>
      <c r="I416">
        <v>39.229999999999997</v>
      </c>
      <c r="J416" s="8">
        <f t="shared" si="85"/>
        <v>-3.7772872209958452E-2</v>
      </c>
      <c r="K416" s="8">
        <f t="shared" si="86"/>
        <v>-0.14976159514521103</v>
      </c>
      <c r="L416">
        <f t="shared" si="84"/>
        <v>-3.7448872209958455E-2</v>
      </c>
      <c r="M416">
        <f t="shared" si="87"/>
        <v>-0.29901453332239519</v>
      </c>
      <c r="N416" s="15">
        <v>-3.2400000000000001E-4</v>
      </c>
      <c r="O416" s="8">
        <f>(I416 - MAX(I362:I416)) / MAX(I362:I416)</f>
        <v>-0.25503228256741362</v>
      </c>
      <c r="P416" s="15">
        <v>-2E-3</v>
      </c>
      <c r="Q416">
        <f t="shared" si="88"/>
        <v>0.75354886108037844</v>
      </c>
      <c r="R416">
        <f t="shared" si="89"/>
        <v>-1.4118540206873831E-2</v>
      </c>
      <c r="S416" s="15">
        <f t="shared" si="90"/>
        <v>4.8316510012847973E-2</v>
      </c>
    </row>
    <row r="417" spans="1:19" x14ac:dyDescent="0.3">
      <c r="A417" s="2">
        <v>43678</v>
      </c>
      <c r="B417">
        <v>2019</v>
      </c>
      <c r="C417">
        <v>8</v>
      </c>
      <c r="D417" s="5" t="s">
        <v>9</v>
      </c>
      <c r="E417" t="s">
        <v>21</v>
      </c>
      <c r="F417" t="s">
        <v>20</v>
      </c>
      <c r="G417" t="s">
        <v>21</v>
      </c>
      <c r="H417" t="s">
        <v>24</v>
      </c>
      <c r="I417">
        <v>35.07</v>
      </c>
      <c r="J417" s="8">
        <f t="shared" si="85"/>
        <v>-0.10604129492735144</v>
      </c>
      <c r="K417" s="8">
        <f t="shared" si="86"/>
        <v>-0.23992197659297854</v>
      </c>
      <c r="L417">
        <f t="shared" si="84"/>
        <v>-0.10550029492735144</v>
      </c>
      <c r="M417">
        <f t="shared" si="87"/>
        <v>-0.30875295421410553</v>
      </c>
      <c r="N417" s="15">
        <v>-5.4100000000000003E-4</v>
      </c>
      <c r="O417" s="8">
        <f>(I417 - MAX(I362:I417)) / MAX(I362:I417)</f>
        <v>-0.33402962400303832</v>
      </c>
      <c r="P417" s="15">
        <v>-1.1599999999999999E-2</v>
      </c>
      <c r="Q417">
        <f t="shared" si="88"/>
        <v>0.71852519926517444</v>
      </c>
      <c r="R417">
        <f t="shared" si="89"/>
        <v>-1.6915659526286996E-2</v>
      </c>
      <c r="S417" s="15">
        <f t="shared" si="90"/>
        <v>5.0608382658813053E-2</v>
      </c>
    </row>
    <row r="418" spans="1:19" x14ac:dyDescent="0.3">
      <c r="A418" s="2">
        <v>43709</v>
      </c>
      <c r="B418">
        <v>2019</v>
      </c>
      <c r="C418">
        <v>9</v>
      </c>
      <c r="D418" s="5" t="s">
        <v>9</v>
      </c>
      <c r="E418" t="s">
        <v>21</v>
      </c>
      <c r="F418" t="s">
        <v>20</v>
      </c>
      <c r="G418" t="s">
        <v>21</v>
      </c>
      <c r="H418" t="s">
        <v>24</v>
      </c>
      <c r="I418">
        <v>37.380000000000003</v>
      </c>
      <c r="J418" s="8">
        <f t="shared" si="85"/>
        <v>6.5868263473053953E-2</v>
      </c>
      <c r="K418" s="8">
        <f t="shared" si="86"/>
        <v>-0.1898569570871268</v>
      </c>
      <c r="L418">
        <f t="shared" si="84"/>
        <v>6.636426347305395E-2</v>
      </c>
      <c r="M418">
        <f t="shared" si="87"/>
        <v>-0.17984284222721286</v>
      </c>
      <c r="N418" s="15">
        <v>-4.9600000000000002E-4</v>
      </c>
      <c r="O418" s="8">
        <f>(I418 - MAX(I362:I418)) / MAX(I362:I418)</f>
        <v>-0.29016331181162164</v>
      </c>
      <c r="P418" s="15">
        <v>4.1599999999999998E-2</v>
      </c>
      <c r="Q418">
        <f t="shared" si="88"/>
        <v>0.79963689821373818</v>
      </c>
      <c r="R418">
        <f t="shared" si="89"/>
        <v>-1.4165536059247908E-2</v>
      </c>
      <c r="S418" s="15">
        <f t="shared" si="90"/>
        <v>5.5774327931895261E-2</v>
      </c>
    </row>
    <row r="419" spans="1:19" x14ac:dyDescent="0.3">
      <c r="A419" s="2">
        <v>43739</v>
      </c>
      <c r="B419">
        <v>2019</v>
      </c>
      <c r="C419">
        <v>10</v>
      </c>
      <c r="D419" s="5" t="s">
        <v>9</v>
      </c>
      <c r="E419" t="s">
        <v>21</v>
      </c>
      <c r="F419" t="s">
        <v>20</v>
      </c>
      <c r="G419" t="s">
        <v>21</v>
      </c>
      <c r="H419" t="s">
        <v>24</v>
      </c>
      <c r="I419">
        <v>36.92</v>
      </c>
      <c r="J419" s="8">
        <f t="shared" si="85"/>
        <v>-1.2306046013911205E-2</v>
      </c>
      <c r="K419" s="8">
        <f t="shared" si="86"/>
        <v>-0.19982661465106266</v>
      </c>
      <c r="L419">
        <f t="shared" si="84"/>
        <v>-1.1915046013911204E-2</v>
      </c>
      <c r="M419">
        <f t="shared" si="87"/>
        <v>-0.10395402051261637</v>
      </c>
      <c r="N419" s="15">
        <v>-3.9100000000000002E-4</v>
      </c>
      <c r="O419" s="8">
        <f>(I419 - MAX(I362:I419)) / MAX(I362:I419)</f>
        <v>-0.29889859475883013</v>
      </c>
      <c r="P419" s="15">
        <v>9.7999999999999997E-3</v>
      </c>
      <c r="Q419">
        <f t="shared" si="88"/>
        <v>0.78491028428937815</v>
      </c>
      <c r="R419">
        <f t="shared" si="89"/>
        <v>-1.4133361359207036E-2</v>
      </c>
      <c r="S419" s="15">
        <f t="shared" si="90"/>
        <v>5.2979759171121132E-2</v>
      </c>
    </row>
    <row r="420" spans="1:19" x14ac:dyDescent="0.3">
      <c r="A420" s="2">
        <v>43770</v>
      </c>
      <c r="B420">
        <v>2019</v>
      </c>
      <c r="C420">
        <v>11</v>
      </c>
      <c r="D420" s="5" t="s">
        <v>9</v>
      </c>
      <c r="E420" t="s">
        <v>21</v>
      </c>
      <c r="F420" t="s">
        <v>20</v>
      </c>
      <c r="G420" t="s">
        <v>21</v>
      </c>
      <c r="H420" t="s">
        <v>24</v>
      </c>
      <c r="I420">
        <v>36.4</v>
      </c>
      <c r="J420" s="8">
        <f t="shared" si="85"/>
        <v>-1.4084507042253605E-2</v>
      </c>
      <c r="K420" s="8">
        <f t="shared" si="86"/>
        <v>-0.21109666233203372</v>
      </c>
      <c r="L420">
        <f t="shared" si="84"/>
        <v>-1.3790507042253604E-2</v>
      </c>
      <c r="M420">
        <f t="shared" si="87"/>
        <v>-0.18643971116217911</v>
      </c>
      <c r="N420" s="15">
        <v>-2.9399999999999999E-4</v>
      </c>
      <c r="O420" s="8">
        <f>(I420 - MAX(I362:I420)) / MAX(I362:I420)</f>
        <v>-0.30877326243828329</v>
      </c>
      <c r="P420" s="15">
        <v>2.75E-2</v>
      </c>
      <c r="Q420">
        <f t="shared" si="88"/>
        <v>0.83016246636996383</v>
      </c>
      <c r="R420">
        <f t="shared" si="89"/>
        <v>-2.1172748031327578E-2</v>
      </c>
      <c r="S420" s="15">
        <f t="shared" si="90"/>
        <v>5.1399188395012278E-2</v>
      </c>
    </row>
    <row r="421" spans="1:19" x14ac:dyDescent="0.3">
      <c r="A421" s="2">
        <v>43800</v>
      </c>
      <c r="B421">
        <v>2019</v>
      </c>
      <c r="C421">
        <v>12</v>
      </c>
      <c r="D421" s="5" t="s">
        <v>9</v>
      </c>
      <c r="E421" t="s">
        <v>21</v>
      </c>
      <c r="F421" t="s">
        <v>20</v>
      </c>
      <c r="G421" t="s">
        <v>21</v>
      </c>
      <c r="H421" t="s">
        <v>24</v>
      </c>
      <c r="I421">
        <v>38.19</v>
      </c>
      <c r="J421" s="8">
        <f t="shared" si="85"/>
        <v>4.9175824175824154E-2</v>
      </c>
      <c r="K421" s="8">
        <f t="shared" si="86"/>
        <v>-0.17230169050715294</v>
      </c>
      <c r="L421">
        <f t="shared" si="84"/>
        <v>4.9425824175824154E-2</v>
      </c>
      <c r="M421">
        <f t="shared" si="87"/>
        <v>-4.9492566170064839E-2</v>
      </c>
      <c r="N421" s="15">
        <v>-2.5000000000000001E-4</v>
      </c>
      <c r="O421" s="8">
        <f>(I421 - MAX(I362:I421)) / MAX(I362:I421)</f>
        <v>-0.27478161792631978</v>
      </c>
      <c r="P421" s="15">
        <v>1.21E-2</v>
      </c>
      <c r="Q421">
        <f t="shared" si="88"/>
        <v>1.0008468390531406</v>
      </c>
      <c r="R421">
        <f t="shared" si="89"/>
        <v>-2.2563866205322219E-2</v>
      </c>
      <c r="S421" s="15">
        <f t="shared" si="90"/>
        <v>5.3419027632480312E-2</v>
      </c>
    </row>
    <row r="422" spans="1:19" x14ac:dyDescent="0.3">
      <c r="A422" s="2">
        <v>43831</v>
      </c>
      <c r="B422">
        <v>2020</v>
      </c>
      <c r="C422">
        <v>1</v>
      </c>
      <c r="D422" s="5" t="s">
        <v>9</v>
      </c>
      <c r="E422" t="s">
        <v>21</v>
      </c>
      <c r="F422" t="s">
        <v>20</v>
      </c>
      <c r="G422" t="s">
        <v>21</v>
      </c>
      <c r="H422" t="s">
        <v>24</v>
      </c>
      <c r="I422">
        <v>35.450000000000003</v>
      </c>
      <c r="J422" s="8">
        <f t="shared" si="85"/>
        <v>-7.1746530505367764E-2</v>
      </c>
      <c r="K422" s="8">
        <f t="shared" si="86"/>
        <v>-0.23168617251842283</v>
      </c>
      <c r="L422">
        <f t="shared" si="84"/>
        <v>-7.1485530505367767E-2</v>
      </c>
      <c r="M422">
        <f t="shared" si="87"/>
        <v>-0.19022773208391608</v>
      </c>
      <c r="N422" s="15">
        <v>-2.61E-4</v>
      </c>
      <c r="O422" s="8">
        <f>(I422 - MAX(I362:I422)) / MAX(I362:I422)</f>
        <v>-0.32681352069882252</v>
      </c>
      <c r="P422" s="15">
        <v>-2.87E-2</v>
      </c>
      <c r="Q422">
        <f t="shared" si="88"/>
        <v>1.0931874358242315</v>
      </c>
      <c r="R422">
        <f t="shared" si="89"/>
        <v>-2.4569366717580907E-2</v>
      </c>
      <c r="S422" s="15">
        <f t="shared" si="90"/>
        <v>5.6073609171667815E-2</v>
      </c>
    </row>
    <row r="423" spans="1:19" x14ac:dyDescent="0.3">
      <c r="A423" s="2">
        <v>43862</v>
      </c>
      <c r="B423">
        <v>2020</v>
      </c>
      <c r="C423">
        <v>2</v>
      </c>
      <c r="D423" s="5" t="s">
        <v>9</v>
      </c>
      <c r="E423" t="s">
        <v>21</v>
      </c>
      <c r="F423" t="s">
        <v>20</v>
      </c>
      <c r="G423" t="s">
        <v>21</v>
      </c>
      <c r="H423" t="s">
        <v>24</v>
      </c>
      <c r="I423">
        <v>32.79</v>
      </c>
      <c r="J423" s="8">
        <f t="shared" si="85"/>
        <v>-7.5035260930888678E-2</v>
      </c>
      <c r="K423" s="8">
        <f t="shared" si="86"/>
        <v>-0.28933680104031267</v>
      </c>
      <c r="L423">
        <f t="shared" si="84"/>
        <v>-7.4647260930888679E-2</v>
      </c>
      <c r="M423">
        <f t="shared" si="87"/>
        <v>-0.24306553401701889</v>
      </c>
      <c r="N423" s="15">
        <v>-3.88E-4</v>
      </c>
      <c r="O423" s="8">
        <f>(I423 - MAX(I362:I423)) / MAX(I362:I423)</f>
        <v>-0.37732624382833269</v>
      </c>
      <c r="P423" s="15">
        <v>-8.5500000000000007E-2</v>
      </c>
      <c r="Q423">
        <f t="shared" si="88"/>
        <v>1.0254777112784541</v>
      </c>
      <c r="R423">
        <f t="shared" si="89"/>
        <v>-1.6332793561970437E-2</v>
      </c>
      <c r="S423" s="15">
        <f t="shared" si="90"/>
        <v>5.8882312141572545E-2</v>
      </c>
    </row>
    <row r="424" spans="1:19" x14ac:dyDescent="0.3">
      <c r="A424" s="2">
        <v>43891</v>
      </c>
      <c r="B424">
        <v>2020</v>
      </c>
      <c r="C424">
        <v>3</v>
      </c>
      <c r="D424" s="5" t="s">
        <v>9</v>
      </c>
      <c r="E424" t="s">
        <v>21</v>
      </c>
      <c r="F424" t="s">
        <v>20</v>
      </c>
      <c r="G424" t="s">
        <v>21</v>
      </c>
      <c r="H424" t="s">
        <v>24</v>
      </c>
      <c r="I424">
        <v>27.36</v>
      </c>
      <c r="J424" s="8">
        <f t="shared" si="85"/>
        <v>-0.1655992680695334</v>
      </c>
      <c r="K424" s="8">
        <f t="shared" si="86"/>
        <v>-0.40702210663199012</v>
      </c>
      <c r="L424">
        <f t="shared" si="84"/>
        <v>-0.16514826806953339</v>
      </c>
      <c r="M424">
        <f t="shared" si="87"/>
        <v>-0.37697543261006866</v>
      </c>
      <c r="N424" s="15">
        <v>-4.5100000000000001E-4</v>
      </c>
      <c r="O424" s="8">
        <f>(I424 - MAX(I362:I424)) / MAX(I362:I424)</f>
        <v>-0.4804405620964679</v>
      </c>
      <c r="P424" s="15">
        <v>-0.16300000000000001</v>
      </c>
      <c r="Q424">
        <f t="shared" si="88"/>
        <v>0.97114969876574597</v>
      </c>
      <c r="R424">
        <f t="shared" si="89"/>
        <v>-1.4999810602664568E-2</v>
      </c>
      <c r="S424" s="15">
        <f t="shared" si="90"/>
        <v>7.3085921148458688E-2</v>
      </c>
    </row>
    <row r="425" spans="1:19" x14ac:dyDescent="0.3">
      <c r="A425" s="2">
        <v>43922</v>
      </c>
      <c r="B425">
        <v>2020</v>
      </c>
      <c r="C425">
        <v>4</v>
      </c>
      <c r="D425" s="5" t="s">
        <v>9</v>
      </c>
      <c r="E425" t="s">
        <v>21</v>
      </c>
      <c r="F425" t="s">
        <v>20</v>
      </c>
      <c r="G425" t="s">
        <v>21</v>
      </c>
      <c r="H425" t="s">
        <v>24</v>
      </c>
      <c r="I425">
        <v>25.13</v>
      </c>
      <c r="J425" s="8">
        <f t="shared" si="85"/>
        <v>-8.1505847953216387E-2</v>
      </c>
      <c r="K425" s="8">
        <f t="shared" si="86"/>
        <v>-0.4553532726484617</v>
      </c>
      <c r="L425">
        <f t="shared" si="84"/>
        <v>-8.1130847953216387E-2</v>
      </c>
      <c r="M425">
        <f t="shared" si="87"/>
        <v>-0.60415617961149759</v>
      </c>
      <c r="N425" s="15">
        <v>-3.7500000000000001E-4</v>
      </c>
      <c r="O425" s="8">
        <f>(I425 - MAX(I362:I425)) / MAX(I362:I425)</f>
        <v>-0.52278769464489172</v>
      </c>
      <c r="P425" s="15">
        <v>5.0599999999999999E-2</v>
      </c>
      <c r="Q425">
        <f t="shared" si="88"/>
        <v>0.75540050473762133</v>
      </c>
      <c r="R425">
        <f t="shared" si="89"/>
        <v>-3.0837960572047969E-2</v>
      </c>
      <c r="S425" s="15">
        <f t="shared" si="90"/>
        <v>6.6959227865747137E-2</v>
      </c>
    </row>
    <row r="426" spans="1:19" x14ac:dyDescent="0.3">
      <c r="A426" s="2">
        <v>43952</v>
      </c>
      <c r="B426">
        <v>2020</v>
      </c>
      <c r="C426">
        <v>5</v>
      </c>
      <c r="D426" s="5" t="s">
        <v>9</v>
      </c>
      <c r="E426" t="s">
        <v>21</v>
      </c>
      <c r="F426" t="s">
        <v>20</v>
      </c>
      <c r="G426" t="s">
        <v>21</v>
      </c>
      <c r="H426" t="s">
        <v>24</v>
      </c>
      <c r="I426">
        <v>22.52</v>
      </c>
      <c r="J426" s="8">
        <f t="shared" si="85"/>
        <v>-0.10385992837246318</v>
      </c>
      <c r="K426" s="8">
        <f t="shared" si="86"/>
        <v>-0.51192024273948888</v>
      </c>
      <c r="L426">
        <f t="shared" si="84"/>
        <v>-0.10342992837246318</v>
      </c>
      <c r="M426">
        <f t="shared" si="87"/>
        <v>-0.63237238435552878</v>
      </c>
      <c r="N426" s="15">
        <v>-4.2999999999999999E-4</v>
      </c>
      <c r="O426" s="8">
        <f>(I426 - MAX(I362:I426)) / MAX(I362:I426)</f>
        <v>-0.57235093049753127</v>
      </c>
      <c r="P426" s="15">
        <v>4.1799999999999997E-2</v>
      </c>
      <c r="Q426">
        <f t="shared" si="88"/>
        <v>0.67296480396700831</v>
      </c>
      <c r="R426">
        <f t="shared" si="89"/>
        <v>-4.1267374082344398E-2</v>
      </c>
      <c r="S426" s="15">
        <f t="shared" si="90"/>
        <v>6.9163252022581168E-2</v>
      </c>
    </row>
    <row r="427" spans="1:19" x14ac:dyDescent="0.3">
      <c r="A427" s="2">
        <v>43983</v>
      </c>
      <c r="B427">
        <v>2020</v>
      </c>
      <c r="C427">
        <v>6</v>
      </c>
      <c r="D427" s="5" t="s">
        <v>9</v>
      </c>
      <c r="E427" t="s">
        <v>21</v>
      </c>
      <c r="F427" t="s">
        <v>20</v>
      </c>
      <c r="G427" t="s">
        <v>21</v>
      </c>
      <c r="H427" t="s">
        <v>24</v>
      </c>
      <c r="I427">
        <v>22.79</v>
      </c>
      <c r="J427" s="8">
        <f t="shared" ref="J427:J458" si="91">(I427-I426)/I426</f>
        <v>1.1989342806394297E-2</v>
      </c>
      <c r="K427" s="8">
        <f t="shared" ref="K427:K458" si="92">(K426+1)*(J427+1)-1</f>
        <v>-0.50606848721283093</v>
      </c>
      <c r="L427">
        <f t="shared" si="84"/>
        <v>1.2351342806394296E-2</v>
      </c>
      <c r="M427">
        <f t="shared" si="87"/>
        <v>-0.65532740808938938</v>
      </c>
      <c r="N427" s="15">
        <v>-3.6200000000000002E-4</v>
      </c>
      <c r="O427" s="8">
        <f>(I427 - MAX(I362:I427)) / MAX(I362:I427)</f>
        <v>-0.56722369920243065</v>
      </c>
      <c r="P427" s="15">
        <v>6.0299999999999999E-2</v>
      </c>
      <c r="Q427">
        <f t="shared" si="88"/>
        <v>0.65596197693586278</v>
      </c>
      <c r="R427">
        <f t="shared" si="89"/>
        <v>-4.2371039246395903E-2</v>
      </c>
      <c r="S427" s="15">
        <f t="shared" si="90"/>
        <v>6.820447292819859E-2</v>
      </c>
    </row>
    <row r="428" spans="1:19" x14ac:dyDescent="0.3">
      <c r="A428" s="2">
        <v>44013</v>
      </c>
      <c r="B428">
        <v>2020</v>
      </c>
      <c r="C428">
        <v>7</v>
      </c>
      <c r="D428" s="5" t="s">
        <v>9</v>
      </c>
      <c r="E428" t="s">
        <v>21</v>
      </c>
      <c r="F428" t="s">
        <v>20</v>
      </c>
      <c r="G428" t="s">
        <v>21</v>
      </c>
      <c r="H428" t="s">
        <v>24</v>
      </c>
      <c r="I428">
        <v>22.13</v>
      </c>
      <c r="J428" s="8">
        <f t="shared" si="91"/>
        <v>-2.8960070206230811E-2</v>
      </c>
      <c r="K428" s="8">
        <f t="shared" si="92"/>
        <v>-0.52037277850021713</v>
      </c>
      <c r="L428">
        <f t="shared" si="84"/>
        <v>-2.8524070206230812E-2</v>
      </c>
      <c r="M428">
        <f t="shared" si="87"/>
        <v>-0.64316772517853749</v>
      </c>
      <c r="N428" s="15">
        <v>-4.3600000000000003E-4</v>
      </c>
      <c r="O428" s="8">
        <f>(I428 - MAX(I362:I428)) / MAX(I362:I428)</f>
        <v>-0.57975693125712113</v>
      </c>
      <c r="P428" s="15">
        <v>-1.8499999999999999E-2</v>
      </c>
      <c r="Q428">
        <f t="shared" si="88"/>
        <v>0.64807737503595697</v>
      </c>
      <c r="R428">
        <f t="shared" si="89"/>
        <v>-4.0770197020162526E-2</v>
      </c>
      <c r="S428" s="15">
        <f t="shared" si="90"/>
        <v>6.8337581696326338E-2</v>
      </c>
    </row>
    <row r="429" spans="1:19" x14ac:dyDescent="0.3">
      <c r="A429" s="2">
        <v>44044</v>
      </c>
      <c r="B429">
        <v>2020</v>
      </c>
      <c r="C429">
        <v>8</v>
      </c>
      <c r="D429" s="5" t="s">
        <v>9</v>
      </c>
      <c r="E429" t="s">
        <v>21</v>
      </c>
      <c r="F429" t="s">
        <v>20</v>
      </c>
      <c r="G429" t="s">
        <v>21</v>
      </c>
      <c r="H429" t="s">
        <v>24</v>
      </c>
      <c r="I429">
        <v>21.13</v>
      </c>
      <c r="J429" s="8">
        <f t="shared" si="91"/>
        <v>-4.5187528242205156E-2</v>
      </c>
      <c r="K429" s="8">
        <f t="shared" si="92"/>
        <v>-0.54204594711746901</v>
      </c>
      <c r="L429">
        <f t="shared" si="84"/>
        <v>-4.4751528242205157E-2</v>
      </c>
      <c r="M429">
        <f t="shared" si="87"/>
        <v>-0.59334745121673782</v>
      </c>
      <c r="N429" s="15">
        <v>-4.3600000000000003E-4</v>
      </c>
      <c r="O429" s="8">
        <f>(I429 - MAX(I362:I429)) / MAX(I362:I429)</f>
        <v>-0.59874667679453097</v>
      </c>
      <c r="P429" s="15">
        <v>3.09E-2</v>
      </c>
      <c r="Q429">
        <f t="shared" si="88"/>
        <v>0.61889750693278622</v>
      </c>
      <c r="R429">
        <f t="shared" si="89"/>
        <v>-3.8037598424266565E-2</v>
      </c>
      <c r="S429" s="15">
        <f t="shared" si="90"/>
        <v>6.5543602926610878E-2</v>
      </c>
    </row>
    <row r="430" spans="1:19" x14ac:dyDescent="0.3">
      <c r="A430" s="2">
        <v>44075</v>
      </c>
      <c r="B430">
        <v>2020</v>
      </c>
      <c r="C430">
        <v>9</v>
      </c>
      <c r="D430" s="5" t="s">
        <v>9</v>
      </c>
      <c r="E430" t="s">
        <v>21</v>
      </c>
      <c r="F430" t="s">
        <v>20</v>
      </c>
      <c r="G430" t="s">
        <v>21</v>
      </c>
      <c r="H430" t="s">
        <v>24</v>
      </c>
      <c r="I430">
        <v>19.13</v>
      </c>
      <c r="J430" s="8">
        <f t="shared" si="91"/>
        <v>-9.4652153336488409E-2</v>
      </c>
      <c r="K430" s="8">
        <f t="shared" si="92"/>
        <v>-0.58539228435197255</v>
      </c>
      <c r="L430">
        <f t="shared" si="84"/>
        <v>-9.4215153336488403E-2</v>
      </c>
      <c r="M430">
        <f t="shared" si="87"/>
        <v>-0.89981334369291965</v>
      </c>
      <c r="N430" s="15">
        <v>-4.37E-4</v>
      </c>
      <c r="O430" s="8">
        <f>(I430 - MAX(I362:I430)) / MAX(I362:I430)</f>
        <v>-0.63672616786935066</v>
      </c>
      <c r="P430" s="15">
        <v>-2.41E-2</v>
      </c>
      <c r="Q430">
        <f t="shared" si="88"/>
        <v>0.54933550564770595</v>
      </c>
      <c r="R430">
        <f t="shared" si="89"/>
        <v>-4.850472535550801E-2</v>
      </c>
      <c r="S430" s="15">
        <f t="shared" si="90"/>
        <v>5.8091767780415575E-2</v>
      </c>
    </row>
    <row r="431" spans="1:19" x14ac:dyDescent="0.3">
      <c r="A431" s="2">
        <v>44105</v>
      </c>
      <c r="B431">
        <v>2020</v>
      </c>
      <c r="C431">
        <v>10</v>
      </c>
      <c r="D431" s="5" t="s">
        <v>9</v>
      </c>
      <c r="E431" t="s">
        <v>21</v>
      </c>
      <c r="F431" t="s">
        <v>20</v>
      </c>
      <c r="G431" t="s">
        <v>21</v>
      </c>
      <c r="H431" t="s">
        <v>24</v>
      </c>
      <c r="I431">
        <v>20.49</v>
      </c>
      <c r="J431" s="8">
        <f t="shared" si="91"/>
        <v>7.1092524830109749E-2</v>
      </c>
      <c r="K431" s="8">
        <f t="shared" si="92"/>
        <v>-0.55591677503251002</v>
      </c>
      <c r="L431">
        <f t="shared" si="84"/>
        <v>7.1598524830109755E-2</v>
      </c>
      <c r="M431">
        <f t="shared" si="87"/>
        <v>-0.67057754370222078</v>
      </c>
      <c r="N431" s="15">
        <v>-5.0600000000000005E-4</v>
      </c>
      <c r="O431" s="8">
        <f>(I431 - MAX(I362:I431)) / MAX(I362:I431)</f>
        <v>-0.61090011393847332</v>
      </c>
      <c r="P431" s="15">
        <v>-7.3700000000000002E-2</v>
      </c>
      <c r="Q431">
        <f t="shared" si="88"/>
        <v>0.33712831380364561</v>
      </c>
      <c r="R431">
        <f t="shared" si="89"/>
        <v>-4.065783388210116E-2</v>
      </c>
      <c r="S431" s="15">
        <f t="shared" si="90"/>
        <v>6.7572026525612588E-2</v>
      </c>
    </row>
    <row r="432" spans="1:19" x14ac:dyDescent="0.3">
      <c r="A432" s="2">
        <v>44136</v>
      </c>
      <c r="B432">
        <v>2020</v>
      </c>
      <c r="C432">
        <v>11</v>
      </c>
      <c r="D432" s="5" t="s">
        <v>9</v>
      </c>
      <c r="E432" t="s">
        <v>21</v>
      </c>
      <c r="F432" t="s">
        <v>20</v>
      </c>
      <c r="G432" t="s">
        <v>21</v>
      </c>
      <c r="H432" t="s">
        <v>24</v>
      </c>
      <c r="I432">
        <v>25.29</v>
      </c>
      <c r="J432" s="8">
        <f t="shared" si="91"/>
        <v>0.23426061493411426</v>
      </c>
      <c r="K432" s="8">
        <f t="shared" si="92"/>
        <v>-0.45188556566970128</v>
      </c>
      <c r="L432">
        <f t="shared" si="84"/>
        <v>0.23477261493411428</v>
      </c>
      <c r="M432">
        <f t="shared" si="87"/>
        <v>-0.23313369864831635</v>
      </c>
      <c r="N432" s="15">
        <v>-5.1199999999999998E-4</v>
      </c>
      <c r="O432" s="8">
        <f>(I432 - MAX(I362:I432)) / MAX(I362:I432)</f>
        <v>-0.51974933535890622</v>
      </c>
      <c r="P432" s="15">
        <v>0.18060000000000001</v>
      </c>
      <c r="Q432">
        <f t="shared" si="88"/>
        <v>0.80269438792314896</v>
      </c>
      <c r="R432">
        <f t="shared" si="89"/>
        <v>-2.3772182417731085E-2</v>
      </c>
      <c r="S432" s="15">
        <f t="shared" si="90"/>
        <v>0.10551323217156706</v>
      </c>
    </row>
    <row r="433" spans="1:19" x14ac:dyDescent="0.3">
      <c r="A433" s="2">
        <v>44166</v>
      </c>
      <c r="B433">
        <v>2020</v>
      </c>
      <c r="C433">
        <v>12</v>
      </c>
      <c r="D433" s="5" t="s">
        <v>9</v>
      </c>
      <c r="E433" t="s">
        <v>21</v>
      </c>
      <c r="F433" t="s">
        <v>20</v>
      </c>
      <c r="G433" t="s">
        <v>21</v>
      </c>
      <c r="H433" t="s">
        <v>24</v>
      </c>
      <c r="I433">
        <v>25.31</v>
      </c>
      <c r="J433" s="8">
        <f t="shared" si="91"/>
        <v>7.9082641360219753E-4</v>
      </c>
      <c r="K433" s="8">
        <f t="shared" si="92"/>
        <v>-0.45145210229735622</v>
      </c>
      <c r="L433">
        <f t="shared" si="84"/>
        <v>1.3058264136021976E-3</v>
      </c>
      <c r="M433">
        <f t="shared" si="87"/>
        <v>-0.27688693084156984</v>
      </c>
      <c r="N433" s="15">
        <v>-5.1500000000000005E-4</v>
      </c>
      <c r="O433" s="8">
        <f>(I433 - MAX(I362:I433)) / MAX(I362:I433)</f>
        <v>-0.51936954044815797</v>
      </c>
      <c r="P433" s="15">
        <v>2.2599999999999999E-2</v>
      </c>
      <c r="Q433">
        <f t="shared" si="88"/>
        <v>0.79485981367031133</v>
      </c>
      <c r="R433">
        <f t="shared" si="89"/>
        <v>-2.8503304722385318E-2</v>
      </c>
      <c r="S433" s="15">
        <f t="shared" si="90"/>
        <v>0.10332264436989212</v>
      </c>
    </row>
    <row r="434" spans="1:19" x14ac:dyDescent="0.3">
      <c r="A434" s="2">
        <v>44197</v>
      </c>
      <c r="B434">
        <v>2021</v>
      </c>
      <c r="C434">
        <v>1</v>
      </c>
      <c r="D434" s="5" t="s">
        <v>9</v>
      </c>
      <c r="E434" t="s">
        <v>21</v>
      </c>
      <c r="F434" t="s">
        <v>20</v>
      </c>
      <c r="G434" t="s">
        <v>21</v>
      </c>
      <c r="H434" t="s">
        <v>24</v>
      </c>
      <c r="I434">
        <v>25.55</v>
      </c>
      <c r="J434" s="8">
        <f t="shared" si="91"/>
        <v>9.4824180165943104E-3</v>
      </c>
      <c r="K434" s="8">
        <f t="shared" si="92"/>
        <v>-0.44625054182921575</v>
      </c>
      <c r="L434">
        <f t="shared" si="84"/>
        <v>9.9684180165943107E-3</v>
      </c>
      <c r="M434">
        <f t="shared" si="87"/>
        <v>-0.2119969082004422</v>
      </c>
      <c r="N434" s="15">
        <v>-4.86E-4</v>
      </c>
      <c r="O434" s="8">
        <f>(I434 - MAX(I362:I434)) / MAX(I362:I434)</f>
        <v>-0.51481200151917961</v>
      </c>
      <c r="P434" s="15">
        <v>-2.52E-2</v>
      </c>
      <c r="Q434">
        <f t="shared" si="88"/>
        <v>0.77040508415117348</v>
      </c>
      <c r="R434">
        <f t="shared" si="89"/>
        <v>-2.195786454664915E-2</v>
      </c>
      <c r="S434" s="15">
        <f t="shared" si="90"/>
        <v>0.10293009000813381</v>
      </c>
    </row>
    <row r="435" spans="1:19" x14ac:dyDescent="0.3">
      <c r="A435" s="2">
        <v>44228</v>
      </c>
      <c r="B435">
        <v>2021</v>
      </c>
      <c r="C435">
        <v>2</v>
      </c>
      <c r="D435" s="5" t="s">
        <v>9</v>
      </c>
      <c r="E435" t="s">
        <v>21</v>
      </c>
      <c r="F435" t="s">
        <v>20</v>
      </c>
      <c r="G435" t="s">
        <v>21</v>
      </c>
      <c r="H435" t="s">
        <v>24</v>
      </c>
      <c r="I435">
        <v>29.02</v>
      </c>
      <c r="J435" s="8">
        <f t="shared" si="91"/>
        <v>0.135812133072407</v>
      </c>
      <c r="K435" s="8">
        <f t="shared" si="92"/>
        <v>-0.37104464672735193</v>
      </c>
      <c r="L435">
        <f t="shared" si="84"/>
        <v>0.13618313307240701</v>
      </c>
      <c r="M435">
        <f t="shared" si="87"/>
        <v>-3.837286210373915E-2</v>
      </c>
      <c r="N435" s="15">
        <v>-3.7100000000000002E-4</v>
      </c>
      <c r="O435" s="8">
        <f>(I435 - MAX(I362:I435)) / MAX(I362:I435)</f>
        <v>-0.44891758450436764</v>
      </c>
      <c r="P435" s="15">
        <v>4.4499999999999998E-2</v>
      </c>
      <c r="Q435">
        <f t="shared" si="88"/>
        <v>0.84167452562907563</v>
      </c>
      <c r="R435">
        <f t="shared" si="89"/>
        <v>-1.351828745078768E-2</v>
      </c>
      <c r="S435" s="15">
        <f t="shared" si="90"/>
        <v>0.11079865063879796</v>
      </c>
    </row>
    <row r="436" spans="1:19" x14ac:dyDescent="0.3">
      <c r="A436" s="2">
        <v>44256</v>
      </c>
      <c r="B436">
        <v>2021</v>
      </c>
      <c r="C436">
        <v>3</v>
      </c>
      <c r="D436" s="5" t="s">
        <v>9</v>
      </c>
      <c r="E436" t="s">
        <v>21</v>
      </c>
      <c r="F436" t="s">
        <v>20</v>
      </c>
      <c r="G436" t="s">
        <v>21</v>
      </c>
      <c r="H436" t="s">
        <v>24</v>
      </c>
      <c r="I436">
        <v>28.47</v>
      </c>
      <c r="J436" s="8">
        <f t="shared" si="91"/>
        <v>-1.895244658855964E-2</v>
      </c>
      <c r="K436" s="8">
        <f t="shared" si="92"/>
        <v>-0.38296488946684049</v>
      </c>
      <c r="L436">
        <f t="shared" si="84"/>
        <v>-1.8648446588559641E-2</v>
      </c>
      <c r="M436">
        <f t="shared" si="87"/>
        <v>8.0463747763028753E-2</v>
      </c>
      <c r="N436" s="15">
        <v>-3.0400000000000002E-4</v>
      </c>
      <c r="O436" s="8">
        <f>(I436 - MAX(I362:I436)) / MAX(I362:I436)</f>
        <v>-0.459361944549943</v>
      </c>
      <c r="P436" s="15">
        <v>7.7800000000000008E-2</v>
      </c>
      <c r="Q436">
        <f t="shared" si="88"/>
        <v>0.70603065712693924</v>
      </c>
      <c r="R436">
        <f t="shared" si="89"/>
        <v>-1.3975596890262579E-2</v>
      </c>
      <c r="S436" s="15">
        <f t="shared" si="90"/>
        <v>9.888499275397597E-2</v>
      </c>
    </row>
    <row r="437" spans="1:19" x14ac:dyDescent="0.3">
      <c r="A437" s="2">
        <v>44287</v>
      </c>
      <c r="B437">
        <v>2021</v>
      </c>
      <c r="C437">
        <v>4</v>
      </c>
      <c r="D437" s="5" t="s">
        <v>9</v>
      </c>
      <c r="E437" t="s">
        <v>21</v>
      </c>
      <c r="F437" t="s">
        <v>20</v>
      </c>
      <c r="G437" t="s">
        <v>21</v>
      </c>
      <c r="H437" t="s">
        <v>24</v>
      </c>
      <c r="I437">
        <v>30.5</v>
      </c>
      <c r="J437" s="8">
        <f t="shared" si="91"/>
        <v>7.1303126097646691E-2</v>
      </c>
      <c r="K437" s="8">
        <f t="shared" si="92"/>
        <v>-0.33896835717381923</v>
      </c>
      <c r="L437">
        <f t="shared" si="84"/>
        <v>7.1574126097646684E-2</v>
      </c>
      <c r="M437">
        <f t="shared" ref="M437:M468" si="93">(AVERAGE(J426:J437)-AVERAGE(N426:N437))/STDEV(J426:J437)</f>
        <v>0.21503593530633239</v>
      </c>
      <c r="N437" s="15">
        <v>-2.7099999999999997E-4</v>
      </c>
      <c r="O437" s="8">
        <f>(I437 - MAX(I362:I437)) / MAX(I362:I437)</f>
        <v>-0.42081276110900112</v>
      </c>
      <c r="P437" s="15">
        <v>1.4200000000000001E-2</v>
      </c>
      <c r="Q437">
        <f t="shared" ref="Q437:Q468" si="94" xml:space="preserve"> _xlfn.COVARIANCE.P(J426:J437, P426:P437) / _xlfn.VAR.P(P426:P437)</f>
        <v>0.7359299506163125</v>
      </c>
      <c r="R437">
        <f t="shared" ref="R437:R468" si="95">AVERAGE(J426:J437)-(AVERAGE(N426:N437)+Q437*(AVERAGE(P426:P437)-AVERAGE(N426:N437)))</f>
        <v>5.9719887581362319E-5</v>
      </c>
      <c r="S437" s="15">
        <f t="shared" ref="S437:S468" si="96">STDEV(J426:J437)</f>
        <v>9.6179606395928735E-2</v>
      </c>
    </row>
    <row r="438" spans="1:19" x14ac:dyDescent="0.3">
      <c r="A438" s="2">
        <v>44317</v>
      </c>
      <c r="B438">
        <v>2021</v>
      </c>
      <c r="C438">
        <v>5</v>
      </c>
      <c r="D438" s="5" t="s">
        <v>9</v>
      </c>
      <c r="E438" t="s">
        <v>21</v>
      </c>
      <c r="F438" t="s">
        <v>20</v>
      </c>
      <c r="G438" t="s">
        <v>21</v>
      </c>
      <c r="H438" t="s">
        <v>24</v>
      </c>
      <c r="I438">
        <v>31.63</v>
      </c>
      <c r="J438" s="8">
        <f t="shared" si="91"/>
        <v>3.7049180327868816E-2</v>
      </c>
      <c r="K438" s="8">
        <f t="shared" si="92"/>
        <v>-0.31447767663632475</v>
      </c>
      <c r="L438">
        <f t="shared" si="84"/>
        <v>3.7235180327868815E-2</v>
      </c>
      <c r="M438">
        <f t="shared" si="93"/>
        <v>0.36867689057881559</v>
      </c>
      <c r="N438" s="15">
        <v>-1.8599999999999999E-4</v>
      </c>
      <c r="O438" s="8">
        <f>(I438 - MAX(I362:I438)) / MAX(I362:I438)</f>
        <v>-0.39935434865172803</v>
      </c>
      <c r="P438" s="15">
        <v>1.6299999999999999E-2</v>
      </c>
      <c r="Q438">
        <f t="shared" si="94"/>
        <v>0.77922568552331017</v>
      </c>
      <c r="R438">
        <f t="shared" si="95"/>
        <v>1.2240270817098664E-2</v>
      </c>
      <c r="S438" s="15">
        <f t="shared" si="96"/>
        <v>8.7893124951672064E-2</v>
      </c>
    </row>
    <row r="439" spans="1:19" x14ac:dyDescent="0.3">
      <c r="A439" s="2">
        <v>44348</v>
      </c>
      <c r="B439">
        <v>2021</v>
      </c>
      <c r="C439">
        <v>6</v>
      </c>
      <c r="D439" s="5" t="s">
        <v>9</v>
      </c>
      <c r="E439" t="s">
        <v>21</v>
      </c>
      <c r="F439" t="s">
        <v>20</v>
      </c>
      <c r="G439" t="s">
        <v>21</v>
      </c>
      <c r="H439" t="s">
        <v>24</v>
      </c>
      <c r="I439">
        <v>28.18</v>
      </c>
      <c r="J439" s="8">
        <f t="shared" si="91"/>
        <v>-0.10907366424280744</v>
      </c>
      <c r="K439" s="8">
        <f t="shared" si="92"/>
        <v>-0.38925010836584351</v>
      </c>
      <c r="L439">
        <f t="shared" si="84"/>
        <v>-0.10883266424280744</v>
      </c>
      <c r="M439">
        <f t="shared" si="93"/>
        <v>0.23022201717644503</v>
      </c>
      <c r="N439" s="15">
        <v>-2.41E-4</v>
      </c>
      <c r="O439" s="8">
        <f>(I439 - MAX(I362:I439)) / MAX(I362:I439)</f>
        <v>-0.46486897075579187</v>
      </c>
      <c r="P439" s="15">
        <v>6.1000000000000004E-3</v>
      </c>
      <c r="Q439">
        <f t="shared" si="94"/>
        <v>0.86327872423146257</v>
      </c>
      <c r="R439">
        <f t="shared" si="95"/>
        <v>3.8744240541022136E-3</v>
      </c>
      <c r="S439" s="15">
        <f t="shared" si="96"/>
        <v>9.6886896526679353E-2</v>
      </c>
    </row>
    <row r="440" spans="1:19" x14ac:dyDescent="0.3">
      <c r="A440" s="2">
        <v>44378</v>
      </c>
      <c r="B440">
        <v>2021</v>
      </c>
      <c r="C440">
        <v>7</v>
      </c>
      <c r="D440" s="5" t="s">
        <v>9</v>
      </c>
      <c r="E440" t="s">
        <v>21</v>
      </c>
      <c r="F440" t="s">
        <v>20</v>
      </c>
      <c r="G440" t="s">
        <v>21</v>
      </c>
      <c r="H440" t="s">
        <v>24</v>
      </c>
      <c r="I440">
        <v>26.93</v>
      </c>
      <c r="J440" s="8">
        <f t="shared" si="91"/>
        <v>-4.4357700496806249E-2</v>
      </c>
      <c r="K440" s="8">
        <f t="shared" si="92"/>
        <v>-0.41634156913740827</v>
      </c>
      <c r="L440">
        <f t="shared" si="84"/>
        <v>-4.3981700496806247E-2</v>
      </c>
      <c r="M440">
        <f t="shared" si="93"/>
        <v>0.21507676116395677</v>
      </c>
      <c r="N440" s="15">
        <v>-3.7599999999999998E-4</v>
      </c>
      <c r="O440" s="8">
        <f>(I440 - MAX(I362:I440)) / MAX(I362:I440)</f>
        <v>-0.48860615267755408</v>
      </c>
      <c r="P440" s="15">
        <v>6.1999999999999998E-3</v>
      </c>
      <c r="Q440">
        <f t="shared" si="94"/>
        <v>0.86798913922935106</v>
      </c>
      <c r="R440">
        <f t="shared" si="95"/>
        <v>7.0344941126382343E-4</v>
      </c>
      <c r="S440" s="15">
        <f t="shared" si="96"/>
        <v>9.7720278030259955E-2</v>
      </c>
    </row>
    <row r="441" spans="1:19" x14ac:dyDescent="0.3">
      <c r="A441" s="2">
        <v>44409</v>
      </c>
      <c r="B441">
        <v>2021</v>
      </c>
      <c r="C441">
        <v>8</v>
      </c>
      <c r="D441" s="5" t="s">
        <v>9</v>
      </c>
      <c r="E441" t="s">
        <v>21</v>
      </c>
      <c r="F441" t="s">
        <v>20</v>
      </c>
      <c r="G441" t="s">
        <v>21</v>
      </c>
      <c r="H441" t="s">
        <v>24</v>
      </c>
      <c r="I441">
        <v>25.83</v>
      </c>
      <c r="J441" s="8">
        <f t="shared" si="91"/>
        <v>-4.0846639435573762E-2</v>
      </c>
      <c r="K441" s="8">
        <f t="shared" si="92"/>
        <v>-0.44018205461638527</v>
      </c>
      <c r="L441">
        <f t="shared" si="84"/>
        <v>-4.0397639435573764E-2</v>
      </c>
      <c r="M441">
        <f t="shared" si="93"/>
        <v>0.21936904853205769</v>
      </c>
      <c r="N441" s="15">
        <v>-4.4900000000000002E-4</v>
      </c>
      <c r="O441" s="8">
        <f>(I441 - MAX(I362:I441)) / MAX(I362:I441)</f>
        <v>-0.50949487276870487</v>
      </c>
      <c r="P441" s="15">
        <v>2.6200000000000001E-2</v>
      </c>
      <c r="Q441">
        <f t="shared" si="94"/>
        <v>0.87665246237855343</v>
      </c>
      <c r="R441">
        <f t="shared" si="95"/>
        <v>1.2059279580350322E-3</v>
      </c>
      <c r="S441" s="15">
        <f t="shared" si="96"/>
        <v>9.7462176679334711E-2</v>
      </c>
    </row>
    <row r="442" spans="1:19" x14ac:dyDescent="0.3">
      <c r="A442" s="2">
        <v>44440</v>
      </c>
      <c r="B442">
        <v>2021</v>
      </c>
      <c r="C442">
        <v>9</v>
      </c>
      <c r="D442" s="5" t="s">
        <v>9</v>
      </c>
      <c r="E442" t="s">
        <v>21</v>
      </c>
      <c r="F442" t="s">
        <v>20</v>
      </c>
      <c r="G442" t="s">
        <v>21</v>
      </c>
      <c r="H442" t="s">
        <v>24</v>
      </c>
      <c r="I442">
        <v>25.55</v>
      </c>
      <c r="J442" s="8">
        <f t="shared" si="91"/>
        <v>-1.0840108401083919E-2</v>
      </c>
      <c r="K442" s="8">
        <f t="shared" si="92"/>
        <v>-0.44625054182921575</v>
      </c>
      <c r="L442">
        <f t="shared" si="84"/>
        <v>-1.0538108401083919E-2</v>
      </c>
      <c r="M442">
        <f t="shared" si="93"/>
        <v>0.31080609419996691</v>
      </c>
      <c r="N442" s="15">
        <v>-3.0200000000000002E-4</v>
      </c>
      <c r="O442" s="8">
        <f>(I442 - MAX(I362:I442)) / MAX(I362:I442)</f>
        <v>-0.51481200151917961</v>
      </c>
      <c r="P442" s="15">
        <v>-3.5299999999999998E-2</v>
      </c>
      <c r="Q442">
        <f t="shared" si="94"/>
        <v>0.7745165126824306</v>
      </c>
      <c r="R442">
        <f t="shared" si="95"/>
        <v>1.1261048012955285E-2</v>
      </c>
      <c r="S442" s="15">
        <f t="shared" si="96"/>
        <v>9.1224955279407619E-2</v>
      </c>
    </row>
    <row r="443" spans="1:19" x14ac:dyDescent="0.3">
      <c r="A443" s="2">
        <v>44470</v>
      </c>
      <c r="B443">
        <v>2021</v>
      </c>
      <c r="C443">
        <v>10</v>
      </c>
      <c r="D443" s="5" t="s">
        <v>9</v>
      </c>
      <c r="E443" t="s">
        <v>21</v>
      </c>
      <c r="F443" t="s">
        <v>20</v>
      </c>
      <c r="G443" t="s">
        <v>21</v>
      </c>
      <c r="H443" t="s">
        <v>24</v>
      </c>
      <c r="I443">
        <v>29.37</v>
      </c>
      <c r="J443" s="8">
        <f t="shared" si="91"/>
        <v>0.14951076320939335</v>
      </c>
      <c r="K443" s="8">
        <f t="shared" si="92"/>
        <v>-0.36345903771131383</v>
      </c>
      <c r="L443">
        <f t="shared" si="84"/>
        <v>0.14968076320939336</v>
      </c>
      <c r="M443">
        <f t="shared" si="93"/>
        <v>0.35861776168603227</v>
      </c>
      <c r="N443" s="15">
        <v>-1.7000000000000001E-4</v>
      </c>
      <c r="O443" s="8">
        <f>(I443 - MAX(I362:I443)) / MAX(I362:I443)</f>
        <v>-0.44227117356627416</v>
      </c>
      <c r="P443" s="15">
        <v>0.05</v>
      </c>
      <c r="Q443">
        <f t="shared" si="94"/>
        <v>1.1851470489290987</v>
      </c>
      <c r="R443">
        <f t="shared" si="95"/>
        <v>-3.4777028323040582E-3</v>
      </c>
      <c r="S443" s="15">
        <f t="shared" si="96"/>
        <v>9.7206912112604155E-2</v>
      </c>
    </row>
    <row r="444" spans="1:19" x14ac:dyDescent="0.3">
      <c r="A444" s="2">
        <v>44501</v>
      </c>
      <c r="B444">
        <v>2021</v>
      </c>
      <c r="C444">
        <v>11</v>
      </c>
      <c r="D444" s="5" t="s">
        <v>9</v>
      </c>
      <c r="E444" t="s">
        <v>21</v>
      </c>
      <c r="F444" t="s">
        <v>20</v>
      </c>
      <c r="G444" t="s">
        <v>21</v>
      </c>
      <c r="H444" t="s">
        <v>24</v>
      </c>
      <c r="I444">
        <v>27.04</v>
      </c>
      <c r="J444" s="8">
        <f t="shared" si="91"/>
        <v>-7.9332652366360293E-2</v>
      </c>
      <c r="K444" s="8">
        <f t="shared" si="92"/>
        <v>-0.41395752058951063</v>
      </c>
      <c r="L444">
        <f t="shared" si="84"/>
        <v>-7.9071652366360295E-2</v>
      </c>
      <c r="M444">
        <f t="shared" si="93"/>
        <v>0.11008323639126009</v>
      </c>
      <c r="N444" s="15">
        <v>-2.61E-4</v>
      </c>
      <c r="O444" s="8">
        <f>(I444 - MAX(I362:I444)) / MAX(I362:I444)</f>
        <v>-0.48651728066843902</v>
      </c>
      <c r="P444" s="15">
        <v>-4.41E-2</v>
      </c>
      <c r="Q444">
        <f t="shared" si="94"/>
        <v>0.99938759033647395</v>
      </c>
      <c r="R444">
        <f t="shared" si="95"/>
        <v>-4.8878999616235232E-3</v>
      </c>
      <c r="S444" s="15">
        <f t="shared" si="96"/>
        <v>7.9089574270710589E-2</v>
      </c>
    </row>
    <row r="445" spans="1:19" x14ac:dyDescent="0.3">
      <c r="A445" s="2">
        <v>44531</v>
      </c>
      <c r="B445">
        <v>2021</v>
      </c>
      <c r="C445">
        <v>12</v>
      </c>
      <c r="D445" s="5" t="s">
        <v>9</v>
      </c>
      <c r="E445" t="s">
        <v>21</v>
      </c>
      <c r="F445" t="s">
        <v>20</v>
      </c>
      <c r="G445" t="s">
        <v>21</v>
      </c>
      <c r="H445" t="s">
        <v>24</v>
      </c>
      <c r="I445">
        <v>29.45</v>
      </c>
      <c r="J445" s="8">
        <f t="shared" si="91"/>
        <v>8.9127218934911254E-2</v>
      </c>
      <c r="K445" s="8">
        <f t="shared" si="92"/>
        <v>-0.36172518422193367</v>
      </c>
      <c r="L445">
        <f t="shared" si="84"/>
        <v>8.9447218934911255E-2</v>
      </c>
      <c r="M445">
        <f t="shared" si="93"/>
        <v>0.19488930597640872</v>
      </c>
      <c r="N445" s="15">
        <v>-3.2000000000000003E-4</v>
      </c>
      <c r="O445" s="8">
        <f>(I445 - MAX(I362:I445)) / MAX(I362:I445)</f>
        <v>-0.4407519939232814</v>
      </c>
      <c r="P445" s="15">
        <v>5.9800000000000013E-2</v>
      </c>
      <c r="Q445">
        <f t="shared" si="94"/>
        <v>1.0992595294870964</v>
      </c>
      <c r="R445">
        <f t="shared" si="95"/>
        <v>-2.291150189856473E-3</v>
      </c>
      <c r="S445" s="15">
        <f t="shared" si="96"/>
        <v>8.2362407026644199E-2</v>
      </c>
    </row>
    <row r="446" spans="1:19" x14ac:dyDescent="0.3">
      <c r="A446" s="2">
        <v>44562</v>
      </c>
      <c r="B446">
        <v>2022</v>
      </c>
      <c r="C446">
        <v>1</v>
      </c>
      <c r="D446" s="5" t="s">
        <v>9</v>
      </c>
      <c r="E446" t="s">
        <v>21</v>
      </c>
      <c r="F446" t="s">
        <v>20</v>
      </c>
      <c r="G446" t="s">
        <v>21</v>
      </c>
      <c r="H446" t="s">
        <v>24</v>
      </c>
      <c r="I446">
        <v>34.75</v>
      </c>
      <c r="J446" s="8">
        <f t="shared" si="91"/>
        <v>0.17996604414261463</v>
      </c>
      <c r="K446" s="8">
        <f t="shared" si="92"/>
        <v>-0.24685739055049893</v>
      </c>
      <c r="L446">
        <f t="shared" si="84"/>
        <v>0.18006204414261465</v>
      </c>
      <c r="M446">
        <f t="shared" si="93"/>
        <v>0.31840420854118739</v>
      </c>
      <c r="N446" s="15">
        <v>-9.6000000000000002E-5</v>
      </c>
      <c r="O446" s="8">
        <f>(I446 - MAX(I362:I446)) / MAX(I362:I446)</f>
        <v>-0.34010634257500943</v>
      </c>
      <c r="P446" s="15">
        <v>-3.0499999999999999E-2</v>
      </c>
      <c r="Q446">
        <f t="shared" si="94"/>
        <v>0.58773974903952741</v>
      </c>
      <c r="R446">
        <f t="shared" si="95"/>
        <v>2.0697437441438121E-2</v>
      </c>
      <c r="S446" s="15">
        <f t="shared" si="96"/>
        <v>9.4929716307108086E-2</v>
      </c>
    </row>
    <row r="447" spans="1:19" x14ac:dyDescent="0.3">
      <c r="A447" s="2">
        <v>44593</v>
      </c>
      <c r="B447">
        <v>2022</v>
      </c>
      <c r="C447">
        <v>2</v>
      </c>
      <c r="D447" s="5" t="s">
        <v>9</v>
      </c>
      <c r="E447" t="s">
        <v>21</v>
      </c>
      <c r="F447" t="s">
        <v>20</v>
      </c>
      <c r="G447" t="s">
        <v>21</v>
      </c>
      <c r="H447" t="s">
        <v>24</v>
      </c>
      <c r="I447">
        <v>33.74</v>
      </c>
      <c r="J447" s="8">
        <f t="shared" si="91"/>
        <v>-2.9064748201438791E-2</v>
      </c>
      <c r="K447" s="8">
        <f t="shared" si="92"/>
        <v>-0.26874729085392324</v>
      </c>
      <c r="L447">
        <f t="shared" si="84"/>
        <v>-2.9189748201438791E-2</v>
      </c>
      <c r="M447">
        <f t="shared" si="93"/>
        <v>0.18268290466396048</v>
      </c>
      <c r="N447" s="15">
        <v>1.25E-4</v>
      </c>
      <c r="O447" s="8">
        <f>(I447 - MAX(I362:I447)) / MAX(I362:I447)</f>
        <v>-0.35928598556779329</v>
      </c>
      <c r="P447" s="15">
        <v>-0.06</v>
      </c>
      <c r="Q447">
        <f t="shared" si="94"/>
        <v>0.47267639212196189</v>
      </c>
      <c r="R447">
        <f t="shared" si="95"/>
        <v>1.2917560782407569E-2</v>
      </c>
      <c r="S447" s="15">
        <f t="shared" si="96"/>
        <v>9.0019084043835532E-2</v>
      </c>
    </row>
    <row r="448" spans="1:19" x14ac:dyDescent="0.3">
      <c r="A448" s="2">
        <v>44621</v>
      </c>
      <c r="B448">
        <v>2022</v>
      </c>
      <c r="C448">
        <v>3</v>
      </c>
      <c r="D448" s="5" t="s">
        <v>9</v>
      </c>
      <c r="E448" t="s">
        <v>21</v>
      </c>
      <c r="F448" t="s">
        <v>20</v>
      </c>
      <c r="G448" t="s">
        <v>21</v>
      </c>
      <c r="H448" t="s">
        <v>24</v>
      </c>
      <c r="I448">
        <v>33.43</v>
      </c>
      <c r="J448" s="8">
        <f t="shared" si="91"/>
        <v>-9.187907528156557E-3</v>
      </c>
      <c r="K448" s="8">
        <f t="shared" si="92"/>
        <v>-0.27546597312527132</v>
      </c>
      <c r="L448">
        <f t="shared" si="84"/>
        <v>-9.4229075281565579E-3</v>
      </c>
      <c r="M448">
        <f t="shared" si="93"/>
        <v>0.19186927758905928</v>
      </c>
      <c r="N448" s="15">
        <v>2.3499999999999999E-4</v>
      </c>
      <c r="O448" s="8">
        <f>(I448 - MAX(I362:I448)) / MAX(I362:I448)</f>
        <v>-0.36517280668439039</v>
      </c>
      <c r="P448" s="15">
        <v>-5.5000000000000014E-3</v>
      </c>
      <c r="Q448">
        <f t="shared" si="94"/>
        <v>0.83289698958567393</v>
      </c>
      <c r="R448">
        <f t="shared" si="95"/>
        <v>1.6817283702974532E-2</v>
      </c>
      <c r="S448" s="15">
        <f t="shared" si="96"/>
        <v>8.9715992504465811E-2</v>
      </c>
    </row>
    <row r="449" spans="1:19" x14ac:dyDescent="0.3">
      <c r="A449" s="2">
        <v>44652</v>
      </c>
      <c r="B449">
        <v>2022</v>
      </c>
      <c r="C449">
        <v>4</v>
      </c>
      <c r="D449" s="5" t="s">
        <v>9</v>
      </c>
      <c r="E449" t="s">
        <v>21</v>
      </c>
      <c r="F449" t="s">
        <v>20</v>
      </c>
      <c r="G449" t="s">
        <v>21</v>
      </c>
      <c r="H449" t="s">
        <v>24</v>
      </c>
      <c r="I449">
        <v>30.29</v>
      </c>
      <c r="J449" s="8">
        <f t="shared" si="91"/>
        <v>-9.3927609931199543E-2</v>
      </c>
      <c r="K449" s="8">
        <f t="shared" si="92"/>
        <v>-0.3435197225834421</v>
      </c>
      <c r="L449">
        <f t="shared" si="84"/>
        <v>-9.4549609931199541E-2</v>
      </c>
      <c r="M449">
        <f t="shared" si="93"/>
        <v>3.6145121663498217E-2</v>
      </c>
      <c r="N449" s="15">
        <v>6.2200000000000005E-4</v>
      </c>
      <c r="O449" s="8">
        <f>(I449 - MAX(I362:I449)) / MAX(I362:I449)</f>
        <v>-0.42480060767185718</v>
      </c>
      <c r="P449" s="15">
        <v>-2.5499999999999998E-2</v>
      </c>
      <c r="Q449">
        <f t="shared" si="94"/>
        <v>0.91574977125436585</v>
      </c>
      <c r="R449">
        <f t="shared" si="95"/>
        <v>6.0319536485404172E-3</v>
      </c>
      <c r="S449" s="15">
        <f t="shared" si="96"/>
        <v>9.3237976408588039E-2</v>
      </c>
    </row>
    <row r="450" spans="1:19" x14ac:dyDescent="0.3">
      <c r="A450" s="2">
        <v>44682</v>
      </c>
      <c r="B450">
        <v>2022</v>
      </c>
      <c r="C450">
        <v>5</v>
      </c>
      <c r="D450" s="5" t="s">
        <v>9</v>
      </c>
      <c r="E450" t="s">
        <v>21</v>
      </c>
      <c r="F450" t="s">
        <v>20</v>
      </c>
      <c r="G450" t="s">
        <v>21</v>
      </c>
      <c r="H450" t="s">
        <v>24</v>
      </c>
      <c r="I450">
        <v>32.69</v>
      </c>
      <c r="J450" s="8">
        <f t="shared" si="91"/>
        <v>7.9234070650379615E-2</v>
      </c>
      <c r="K450" s="8">
        <f t="shared" si="92"/>
        <v>-0.29150411790203778</v>
      </c>
      <c r="L450">
        <f t="shared" ref="L450:L513" si="97">J450-N450</f>
        <v>7.8440070650379612E-2</v>
      </c>
      <c r="M450">
        <f t="shared" si="93"/>
        <v>7.1320310881454685E-2</v>
      </c>
      <c r="N450" s="15">
        <v>7.94E-4</v>
      </c>
      <c r="O450" s="8">
        <f>(I450 - MAX(I362:I450)) / MAX(I362:I450)</f>
        <v>-0.37922521838207368</v>
      </c>
      <c r="P450" s="15">
        <v>-3.5999999999999999E-3</v>
      </c>
      <c r="Q450">
        <f t="shared" si="94"/>
        <v>0.8987407747689814</v>
      </c>
      <c r="R450">
        <f t="shared" si="95"/>
        <v>1.0980062556313789E-2</v>
      </c>
      <c r="S450" s="15">
        <f t="shared" si="96"/>
        <v>9.5398334318326936E-2</v>
      </c>
    </row>
    <row r="451" spans="1:19" x14ac:dyDescent="0.3">
      <c r="A451" s="2">
        <v>44713</v>
      </c>
      <c r="B451">
        <v>2022</v>
      </c>
      <c r="C451">
        <v>6</v>
      </c>
      <c r="D451" s="5" t="s">
        <v>9</v>
      </c>
      <c r="E451" t="s">
        <v>21</v>
      </c>
      <c r="F451" t="s">
        <v>20</v>
      </c>
      <c r="G451" t="s">
        <v>21</v>
      </c>
      <c r="H451" t="s">
        <v>24</v>
      </c>
      <c r="I451">
        <v>31.91</v>
      </c>
      <c r="J451" s="8">
        <f t="shared" si="91"/>
        <v>-2.3860507800550556E-2</v>
      </c>
      <c r="K451" s="8">
        <f t="shared" si="92"/>
        <v>-0.30840918942349416</v>
      </c>
      <c r="L451">
        <f t="shared" si="97"/>
        <v>-2.5064507800550556E-2</v>
      </c>
      <c r="M451">
        <f t="shared" si="93"/>
        <v>0.1549782219853047</v>
      </c>
      <c r="N451" s="15">
        <v>1.204E-3</v>
      </c>
      <c r="O451" s="8">
        <f>(I451 - MAX(I362:I451)) / MAX(I362:I451)</f>
        <v>-0.39403721990125329</v>
      </c>
      <c r="P451" s="15">
        <v>-8.8200000000000001E-2</v>
      </c>
      <c r="Q451">
        <f t="shared" si="94"/>
        <v>0.8503439266472258</v>
      </c>
      <c r="R451">
        <f t="shared" si="95"/>
        <v>2.4520535810561982E-2</v>
      </c>
      <c r="S451" s="15">
        <f t="shared" si="96"/>
        <v>8.8944874886901878E-2</v>
      </c>
    </row>
    <row r="452" spans="1:19" x14ac:dyDescent="0.3">
      <c r="A452" s="2">
        <v>44743</v>
      </c>
      <c r="B452">
        <v>2022</v>
      </c>
      <c r="C452">
        <v>7</v>
      </c>
      <c r="D452" s="5" t="s">
        <v>9</v>
      </c>
      <c r="E452" t="s">
        <v>21</v>
      </c>
      <c r="F452" t="s">
        <v>20</v>
      </c>
      <c r="G452" t="s">
        <v>21</v>
      </c>
      <c r="H452" t="s">
        <v>24</v>
      </c>
      <c r="I452">
        <v>30.67</v>
      </c>
      <c r="J452" s="8">
        <f t="shared" si="91"/>
        <v>-3.8859291758069521E-2</v>
      </c>
      <c r="K452" s="8">
        <f t="shared" si="92"/>
        <v>-0.33528391850888639</v>
      </c>
      <c r="L452">
        <f t="shared" si="97"/>
        <v>-3.9761291758069521E-2</v>
      </c>
      <c r="M452">
        <f t="shared" si="93"/>
        <v>0.15949472763821926</v>
      </c>
      <c r="N452" s="15">
        <v>9.0200000000000002E-4</v>
      </c>
      <c r="O452" s="8">
        <f>(I452 - MAX(I362:I452)) / MAX(I362:I452)</f>
        <v>-0.41758450436764138</v>
      </c>
      <c r="P452" s="15">
        <v>7.3300000000000004E-2</v>
      </c>
      <c r="Q452">
        <f t="shared" si="94"/>
        <v>0.52190682178353354</v>
      </c>
      <c r="R452">
        <f t="shared" si="95"/>
        <v>1.7862807969380522E-2</v>
      </c>
      <c r="S452" s="15">
        <f t="shared" si="96"/>
        <v>8.8631263880838626E-2</v>
      </c>
    </row>
    <row r="453" spans="1:19" x14ac:dyDescent="0.3">
      <c r="A453" s="2">
        <v>44774</v>
      </c>
      <c r="B453">
        <v>2022</v>
      </c>
      <c r="C453">
        <v>8</v>
      </c>
      <c r="D453" s="5" t="s">
        <v>9</v>
      </c>
      <c r="E453" t="s">
        <v>21</v>
      </c>
      <c r="F453" t="s">
        <v>20</v>
      </c>
      <c r="G453" t="s">
        <v>21</v>
      </c>
      <c r="H453" t="s">
        <v>24</v>
      </c>
      <c r="I453">
        <v>30.12</v>
      </c>
      <c r="J453" s="8">
        <f t="shared" si="91"/>
        <v>-1.7932833387675276E-2</v>
      </c>
      <c r="K453" s="8">
        <f t="shared" si="92"/>
        <v>-0.34720416124837494</v>
      </c>
      <c r="L453">
        <f t="shared" si="97"/>
        <v>-1.8794833387675278E-2</v>
      </c>
      <c r="M453">
        <f t="shared" si="93"/>
        <v>0.18197474535590044</v>
      </c>
      <c r="N453" s="15">
        <v>8.6200000000000003E-4</v>
      </c>
      <c r="O453" s="8">
        <f>(I453 - MAX(I362:I453)) / MAX(I362:I453)</f>
        <v>-0.4280288644132168</v>
      </c>
      <c r="P453" s="15">
        <v>-5.1499999999999997E-2</v>
      </c>
      <c r="Q453">
        <f t="shared" si="94"/>
        <v>0.63618111698713276</v>
      </c>
      <c r="R453">
        <f t="shared" si="95"/>
        <v>2.4667773885413351E-2</v>
      </c>
      <c r="S453" s="15">
        <f t="shared" si="96"/>
        <v>8.7575081361220525E-2</v>
      </c>
    </row>
    <row r="454" spans="1:19" x14ac:dyDescent="0.3">
      <c r="A454" s="2">
        <v>44805</v>
      </c>
      <c r="B454">
        <v>2022</v>
      </c>
      <c r="C454">
        <v>9</v>
      </c>
      <c r="D454" s="5" t="s">
        <v>9</v>
      </c>
      <c r="E454" t="s">
        <v>21</v>
      </c>
      <c r="F454" t="s">
        <v>20</v>
      </c>
      <c r="G454" t="s">
        <v>21</v>
      </c>
      <c r="H454" t="s">
        <v>24</v>
      </c>
      <c r="I454">
        <v>25.47</v>
      </c>
      <c r="J454" s="8">
        <f t="shared" si="91"/>
        <v>-0.15438247011952197</v>
      </c>
      <c r="K454" s="8">
        <f t="shared" si="92"/>
        <v>-0.44798439531859602</v>
      </c>
      <c r="L454">
        <f t="shared" si="97"/>
        <v>-0.15587847011952197</v>
      </c>
      <c r="M454">
        <f t="shared" si="93"/>
        <v>3.8070794417110664E-2</v>
      </c>
      <c r="N454" s="15">
        <v>1.4959999999999999E-3</v>
      </c>
      <c r="O454" s="8">
        <f>(I454 - MAX(I362:I454)) / MAX(I362:I454)</f>
        <v>-0.51633118116217247</v>
      </c>
      <c r="P454" s="15">
        <v>-5.6599999999999998E-2</v>
      </c>
      <c r="Q454">
        <f t="shared" si="94"/>
        <v>0.82824197003209488</v>
      </c>
      <c r="R454">
        <f t="shared" si="95"/>
        <v>1.6786260010213629E-2</v>
      </c>
      <c r="S454" s="15">
        <f t="shared" si="96"/>
        <v>0.10046431599130283</v>
      </c>
    </row>
    <row r="455" spans="1:19" x14ac:dyDescent="0.3">
      <c r="A455" s="2">
        <v>44835</v>
      </c>
      <c r="B455">
        <v>2022</v>
      </c>
      <c r="C455">
        <v>10</v>
      </c>
      <c r="D455" s="5" t="s">
        <v>9</v>
      </c>
      <c r="E455" t="s">
        <v>21</v>
      </c>
      <c r="F455" t="s">
        <v>20</v>
      </c>
      <c r="G455" t="s">
        <v>21</v>
      </c>
      <c r="H455" t="s">
        <v>24</v>
      </c>
      <c r="I455">
        <v>25.31</v>
      </c>
      <c r="J455" s="8">
        <f t="shared" si="91"/>
        <v>-6.2819002748331432E-3</v>
      </c>
      <c r="K455" s="8">
        <f t="shared" si="92"/>
        <v>-0.45145210229735633</v>
      </c>
      <c r="L455">
        <f t="shared" si="97"/>
        <v>-8.103900274833143E-3</v>
      </c>
      <c r="M455">
        <f t="shared" si="93"/>
        <v>-0.10423384271901487</v>
      </c>
      <c r="N455" s="15">
        <v>1.8220000000000001E-3</v>
      </c>
      <c r="O455" s="8">
        <f>(I455 - MAX(I362:I455)) / MAX(I362:I455)</f>
        <v>-0.51936954044815797</v>
      </c>
      <c r="P455" s="15">
        <v>9.0200000000000002E-2</v>
      </c>
      <c r="Q455">
        <f t="shared" si="94"/>
        <v>0.3965492661272349</v>
      </c>
      <c r="R455">
        <f t="shared" si="95"/>
        <v>-4.3808138055214784E-3</v>
      </c>
      <c r="S455" s="15">
        <f t="shared" si="96"/>
        <v>8.9452383155374376E-2</v>
      </c>
    </row>
    <row r="456" spans="1:19" x14ac:dyDescent="0.3">
      <c r="A456" s="2">
        <v>44866</v>
      </c>
      <c r="B456">
        <v>2022</v>
      </c>
      <c r="C456">
        <v>11</v>
      </c>
      <c r="D456" s="5" t="s">
        <v>9</v>
      </c>
      <c r="E456" t="s">
        <v>21</v>
      </c>
      <c r="F456" t="s">
        <v>20</v>
      </c>
      <c r="G456" t="s">
        <v>21</v>
      </c>
      <c r="H456" t="s">
        <v>24</v>
      </c>
      <c r="I456">
        <v>30.15</v>
      </c>
      <c r="J456" s="8">
        <f t="shared" si="91"/>
        <v>0.19122876333465033</v>
      </c>
      <c r="K456" s="8">
        <f t="shared" si="92"/>
        <v>-0.34655396618985745</v>
      </c>
      <c r="L456">
        <f t="shared" si="97"/>
        <v>0.18950676333465033</v>
      </c>
      <c r="M456">
        <f t="shared" si="93"/>
        <v>0.12666028815542402</v>
      </c>
      <c r="N456" s="15">
        <v>1.722E-3</v>
      </c>
      <c r="O456" s="8">
        <f>(I456 - MAX(I362:I456)) / MAX(I362:I456)</f>
        <v>-0.42745917204709455</v>
      </c>
      <c r="P456" s="15">
        <v>9.6000000000000002E-2</v>
      </c>
      <c r="Q456">
        <f t="shared" si="94"/>
        <v>0.67501543514864293</v>
      </c>
      <c r="R456">
        <f t="shared" si="95"/>
        <v>1.3702658755949598E-2</v>
      </c>
      <c r="S456" s="15">
        <f t="shared" si="96"/>
        <v>0.10309126242528115</v>
      </c>
    </row>
    <row r="457" spans="1:19" x14ac:dyDescent="0.3">
      <c r="A457" s="2">
        <v>44896</v>
      </c>
      <c r="B457">
        <v>2022</v>
      </c>
      <c r="C457">
        <v>12</v>
      </c>
      <c r="D457" s="5" t="s">
        <v>9</v>
      </c>
      <c r="E457" t="s">
        <v>21</v>
      </c>
      <c r="F457" t="s">
        <v>20</v>
      </c>
      <c r="G457" t="s">
        <v>21</v>
      </c>
      <c r="H457" t="s">
        <v>24</v>
      </c>
      <c r="I457">
        <v>30.44</v>
      </c>
      <c r="J457" s="8">
        <f t="shared" si="91"/>
        <v>9.6185737976783661E-3</v>
      </c>
      <c r="K457" s="8">
        <f t="shared" si="92"/>
        <v>-0.34026874729085432</v>
      </c>
      <c r="L457">
        <f t="shared" si="97"/>
        <v>7.8805737976783662E-3</v>
      </c>
      <c r="M457">
        <f t="shared" si="93"/>
        <v>6.2397216824545972E-2</v>
      </c>
      <c r="N457" s="15">
        <v>1.738E-3</v>
      </c>
      <c r="O457" s="8">
        <f>(I457 - MAX(I362:I457)) / MAX(I362:I457)</f>
        <v>-0.42195214584124568</v>
      </c>
      <c r="P457" s="15">
        <v>-4.3200000000000002E-2</v>
      </c>
      <c r="Q457">
        <f t="shared" si="94"/>
        <v>0.59880680754030069</v>
      </c>
      <c r="R457">
        <f t="shared" si="95"/>
        <v>1.2075062081609887E-2</v>
      </c>
      <c r="S457" s="15">
        <f t="shared" si="96"/>
        <v>0.1003305739516107</v>
      </c>
    </row>
    <row r="458" spans="1:19" x14ac:dyDescent="0.3">
      <c r="A458" s="2">
        <v>44927</v>
      </c>
      <c r="B458">
        <v>2023</v>
      </c>
      <c r="C458">
        <v>1</v>
      </c>
      <c r="D458" s="5" t="s">
        <v>9</v>
      </c>
      <c r="E458" t="s">
        <v>21</v>
      </c>
      <c r="F458" t="s">
        <v>20</v>
      </c>
      <c r="G458" t="s">
        <v>21</v>
      </c>
      <c r="H458" t="s">
        <v>24</v>
      </c>
      <c r="I458">
        <v>36.090000000000003</v>
      </c>
      <c r="J458" s="8">
        <f t="shared" si="91"/>
        <v>0.18561103810775301</v>
      </c>
      <c r="K458" s="8">
        <f t="shared" si="92"/>
        <v>-0.21781534460338148</v>
      </c>
      <c r="L458">
        <f t="shared" si="97"/>
        <v>0.18378403810775301</v>
      </c>
      <c r="M458">
        <f t="shared" si="93"/>
        <v>6.4910992312116028E-2</v>
      </c>
      <c r="N458" s="15">
        <v>1.8270000000000001E-3</v>
      </c>
      <c r="O458" s="8">
        <f>(I458 - MAX(I362:I458)) / MAX(I362:I458)</f>
        <v>-0.31466008355488023</v>
      </c>
      <c r="P458" s="15">
        <v>9.7500000000000003E-2</v>
      </c>
      <c r="Q458">
        <f t="shared" si="94"/>
        <v>0.92568130604865551</v>
      </c>
      <c r="R458">
        <f t="shared" si="95"/>
        <v>5.8337495612454339E-3</v>
      </c>
      <c r="S458" s="15">
        <f t="shared" si="96"/>
        <v>0.10122345240322106</v>
      </c>
    </row>
    <row r="459" spans="1:19" x14ac:dyDescent="0.3">
      <c r="A459" s="2">
        <v>44958</v>
      </c>
      <c r="B459">
        <v>2023</v>
      </c>
      <c r="C459">
        <v>2</v>
      </c>
      <c r="D459" s="5" t="s">
        <v>9</v>
      </c>
      <c r="E459" t="s">
        <v>21</v>
      </c>
      <c r="F459" t="s">
        <v>20</v>
      </c>
      <c r="G459" t="s">
        <v>21</v>
      </c>
      <c r="H459" t="s">
        <v>24</v>
      </c>
      <c r="I459">
        <v>37.42</v>
      </c>
      <c r="J459" s="8">
        <f t="shared" ref="J459:J490" si="98">(I459-I458)/I458</f>
        <v>3.6852313660293658E-2</v>
      </c>
      <c r="K459" s="8">
        <f t="shared" ref="K459:K490" si="99">(K458+1)*(J459+1)-1</f>
        <v>-0.18899003034243667</v>
      </c>
      <c r="L459">
        <f t="shared" si="97"/>
        <v>3.487731366029366E-2</v>
      </c>
      <c r="M459">
        <f t="shared" si="93"/>
        <v>0.11810723126794663</v>
      </c>
      <c r="N459" s="15">
        <v>1.9750000000000002E-3</v>
      </c>
      <c r="O459" s="8">
        <f>(I459 - MAX(I362:I459)) / MAX(I362:I459)</f>
        <v>-0.28940372199012526</v>
      </c>
      <c r="P459" s="15">
        <v>1.7999999999999999E-2</v>
      </c>
      <c r="Q459">
        <f t="shared" si="94"/>
        <v>0.95790080317067416</v>
      </c>
      <c r="R459">
        <f t="shared" si="95"/>
        <v>5.0683485015182005E-3</v>
      </c>
      <c r="S459" s="15">
        <f t="shared" si="96"/>
        <v>0.10083579502040613</v>
      </c>
    </row>
    <row r="460" spans="1:19" x14ac:dyDescent="0.3">
      <c r="A460" s="2">
        <v>44986</v>
      </c>
      <c r="B460">
        <v>2023</v>
      </c>
      <c r="C460">
        <v>3</v>
      </c>
      <c r="D460" s="5" t="s">
        <v>9</v>
      </c>
      <c r="E460" t="s">
        <v>21</v>
      </c>
      <c r="F460" t="s">
        <v>20</v>
      </c>
      <c r="G460" t="s">
        <v>21</v>
      </c>
      <c r="H460" t="s">
        <v>24</v>
      </c>
      <c r="I460">
        <v>33.340000000000003</v>
      </c>
      <c r="J460" s="8">
        <f t="shared" si="98"/>
        <v>-0.10903260288615708</v>
      </c>
      <c r="K460" s="8">
        <f t="shared" si="99"/>
        <v>-0.27741655830082412</v>
      </c>
      <c r="L460">
        <f t="shared" si="97"/>
        <v>-0.11101860288615709</v>
      </c>
      <c r="M460">
        <f t="shared" si="93"/>
        <v>3.2241364251689691E-2</v>
      </c>
      <c r="N460" s="15">
        <v>1.9859999999999999E-3</v>
      </c>
      <c r="O460" s="8">
        <f>(I460 - MAX(I362:I460)) / MAX(I362:I460)</f>
        <v>-0.36688188378275721</v>
      </c>
      <c r="P460" s="15">
        <v>1.8100000000000002E-2</v>
      </c>
      <c r="Q460">
        <f t="shared" si="94"/>
        <v>0.93362499830266588</v>
      </c>
      <c r="R460">
        <f t="shared" si="95"/>
        <v>-4.9244854312253247E-3</v>
      </c>
      <c r="S460" s="15">
        <f t="shared" si="96"/>
        <v>0.10679227433379695</v>
      </c>
    </row>
    <row r="461" spans="1:19" x14ac:dyDescent="0.3">
      <c r="A461" s="2">
        <v>45017</v>
      </c>
      <c r="B461">
        <v>2023</v>
      </c>
      <c r="C461">
        <v>4</v>
      </c>
      <c r="D461" s="5" t="s">
        <v>9</v>
      </c>
      <c r="E461" t="s">
        <v>21</v>
      </c>
      <c r="F461" t="s">
        <v>20</v>
      </c>
      <c r="G461" t="s">
        <v>21</v>
      </c>
      <c r="H461" t="s">
        <v>24</v>
      </c>
      <c r="I461">
        <v>35.22</v>
      </c>
      <c r="J461" s="8">
        <f t="shared" si="98"/>
        <v>5.6388722255548751E-2</v>
      </c>
      <c r="K461" s="8">
        <f t="shared" si="99"/>
        <v>-0.23667100130039076</v>
      </c>
      <c r="L461">
        <f t="shared" si="97"/>
        <v>5.4422722255548749E-2</v>
      </c>
      <c r="M461">
        <f t="shared" si="93"/>
        <v>0.15411072748676488</v>
      </c>
      <c r="N461" s="15">
        <v>1.9659999999999999E-3</v>
      </c>
      <c r="O461" s="8">
        <f>(I461 - MAX(I362:I461)) / MAX(I362:I461)</f>
        <v>-0.33118116217242688</v>
      </c>
      <c r="P461" s="15">
        <v>1.03E-2</v>
      </c>
      <c r="Q461">
        <f t="shared" si="94"/>
        <v>0.87549828518968076</v>
      </c>
      <c r="R461">
        <f t="shared" si="95"/>
        <v>5.4969888410708653E-3</v>
      </c>
      <c r="S461" s="15">
        <f t="shared" si="96"/>
        <v>0.10289672815272728</v>
      </c>
    </row>
    <row r="462" spans="1:19" x14ac:dyDescent="0.3">
      <c r="A462" s="2">
        <v>45047</v>
      </c>
      <c r="B462">
        <v>2023</v>
      </c>
      <c r="C462">
        <v>5</v>
      </c>
      <c r="D462" s="5" t="s">
        <v>9</v>
      </c>
      <c r="E462" t="s">
        <v>21</v>
      </c>
      <c r="F462" t="s">
        <v>20</v>
      </c>
      <c r="G462" t="s">
        <v>21</v>
      </c>
      <c r="H462" t="s">
        <v>24</v>
      </c>
      <c r="I462">
        <v>35.97</v>
      </c>
      <c r="J462" s="8">
        <f t="shared" si="98"/>
        <v>2.1294718909710391E-2</v>
      </c>
      <c r="K462" s="8">
        <f t="shared" si="99"/>
        <v>-0.22041612483745188</v>
      </c>
      <c r="L462">
        <f t="shared" si="97"/>
        <v>1.9342718909710392E-2</v>
      </c>
      <c r="M462">
        <f t="shared" si="93"/>
        <v>0.10816564870115042</v>
      </c>
      <c r="N462" s="15">
        <v>1.952E-3</v>
      </c>
      <c r="O462" s="8">
        <f>(I462 - MAX(I362:I462)) / MAX(I362:I462)</f>
        <v>-0.31693885301936953</v>
      </c>
      <c r="P462" s="15">
        <v>-3.2400000000000012E-2</v>
      </c>
      <c r="Q462">
        <f t="shared" si="94"/>
        <v>0.85907313538260022</v>
      </c>
      <c r="R462">
        <f t="shared" si="95"/>
        <v>2.911258097123115E-3</v>
      </c>
      <c r="S462" s="15">
        <f t="shared" si="96"/>
        <v>0.10107377389385516</v>
      </c>
    </row>
    <row r="463" spans="1:19" x14ac:dyDescent="0.3">
      <c r="A463" s="2">
        <v>45078</v>
      </c>
      <c r="B463">
        <v>2023</v>
      </c>
      <c r="C463">
        <v>6</v>
      </c>
      <c r="D463" s="5" t="s">
        <v>9</v>
      </c>
      <c r="E463" t="s">
        <v>21</v>
      </c>
      <c r="F463" t="s">
        <v>20</v>
      </c>
      <c r="G463" t="s">
        <v>21</v>
      </c>
      <c r="H463" t="s">
        <v>24</v>
      </c>
      <c r="I463">
        <v>38.700000000000003</v>
      </c>
      <c r="J463" s="8">
        <f t="shared" si="98"/>
        <v>7.5896580483736556E-2</v>
      </c>
      <c r="K463" s="8">
        <f t="shared" si="99"/>
        <v>-0.1612483745123543</v>
      </c>
      <c r="L463">
        <f t="shared" si="97"/>
        <v>7.391658048373656E-2</v>
      </c>
      <c r="M463">
        <f t="shared" si="93"/>
        <v>0.1882247383211727</v>
      </c>
      <c r="N463" s="15">
        <v>1.98E-3</v>
      </c>
      <c r="O463" s="8">
        <f>(I463 - MAX(I362:I463)) / MAX(I362:I463)</f>
        <v>-0.26509684770224068</v>
      </c>
      <c r="P463" s="15">
        <v>4.2900000000000001E-2</v>
      </c>
      <c r="Q463">
        <f t="shared" si="94"/>
        <v>1.0208324176065187</v>
      </c>
      <c r="R463">
        <f t="shared" si="95"/>
        <v>-1.4372985497510919E-3</v>
      </c>
      <c r="S463" s="15">
        <f t="shared" si="96"/>
        <v>0.10190549082269716</v>
      </c>
    </row>
    <row r="464" spans="1:19" x14ac:dyDescent="0.3">
      <c r="A464" s="2">
        <v>45108</v>
      </c>
      <c r="B464">
        <v>2023</v>
      </c>
      <c r="C464">
        <v>7</v>
      </c>
      <c r="D464" s="5" t="s">
        <v>9</v>
      </c>
      <c r="E464" t="s">
        <v>21</v>
      </c>
      <c r="F464" t="s">
        <v>20</v>
      </c>
      <c r="G464" t="s">
        <v>21</v>
      </c>
      <c r="H464" t="s">
        <v>24</v>
      </c>
      <c r="I464">
        <v>40.81</v>
      </c>
      <c r="J464" s="8">
        <f t="shared" si="98"/>
        <v>5.4521963824289386E-2</v>
      </c>
      <c r="K464" s="8">
        <f t="shared" si="99"/>
        <v>-0.115517988729953</v>
      </c>
      <c r="L464">
        <f t="shared" si="97"/>
        <v>5.2474963824289386E-2</v>
      </c>
      <c r="M464">
        <f t="shared" si="93"/>
        <v>0.26737663216001456</v>
      </c>
      <c r="N464" s="15">
        <v>2.0470000000000002E-3</v>
      </c>
      <c r="O464" s="8">
        <f>(I464 - MAX(I362:I464)) / MAX(I362:I464)</f>
        <v>-0.22502848461830602</v>
      </c>
      <c r="P464" s="15">
        <v>1.6400000000000001E-2</v>
      </c>
      <c r="Q464">
        <f t="shared" si="94"/>
        <v>1.2001984521785347</v>
      </c>
      <c r="R464">
        <f t="shared" si="95"/>
        <v>8.4317406342300158E-3</v>
      </c>
      <c r="S464" s="15">
        <f t="shared" si="96"/>
        <v>0.10048555387359703</v>
      </c>
    </row>
    <row r="465" spans="1:19" x14ac:dyDescent="0.3">
      <c r="A465" s="2">
        <v>45139</v>
      </c>
      <c r="B465">
        <v>2023</v>
      </c>
      <c r="C465">
        <v>8</v>
      </c>
      <c r="D465" s="5" t="s">
        <v>9</v>
      </c>
      <c r="E465" t="s">
        <v>21</v>
      </c>
      <c r="F465" t="s">
        <v>20</v>
      </c>
      <c r="G465" t="s">
        <v>21</v>
      </c>
      <c r="H465" t="s">
        <v>24</v>
      </c>
      <c r="I465">
        <v>36.46</v>
      </c>
      <c r="J465" s="8">
        <f t="shared" si="98"/>
        <v>-0.10659152168586133</v>
      </c>
      <c r="K465" s="8">
        <f t="shared" si="99"/>
        <v>-0.20979627221499841</v>
      </c>
      <c r="L465">
        <f t="shared" si="97"/>
        <v>-0.10871252168586133</v>
      </c>
      <c r="M465">
        <f t="shared" si="93"/>
        <v>0.18064114339535636</v>
      </c>
      <c r="N465" s="15">
        <v>2.1210000000000001E-3</v>
      </c>
      <c r="O465" s="8">
        <f>(I465 - MAX(I362:I465)) / MAX(I362:I465)</f>
        <v>-0.30763387770603867</v>
      </c>
      <c r="P465" s="15">
        <v>-3.9E-2</v>
      </c>
      <c r="Q465">
        <f t="shared" si="94"/>
        <v>1.3910828894494505</v>
      </c>
      <c r="R465">
        <f t="shared" si="95"/>
        <v>-3.2965932597135983E-3</v>
      </c>
      <c r="S465" s="15">
        <f t="shared" si="96"/>
        <v>0.1072532420896901</v>
      </c>
    </row>
    <row r="466" spans="1:19" x14ac:dyDescent="0.3">
      <c r="A466" s="2">
        <v>45170</v>
      </c>
      <c r="B466">
        <v>2023</v>
      </c>
      <c r="C466">
        <v>9</v>
      </c>
      <c r="D466" s="5" t="s">
        <v>9</v>
      </c>
      <c r="E466" t="s">
        <v>21</v>
      </c>
      <c r="F466" t="s">
        <v>20</v>
      </c>
      <c r="G466" t="s">
        <v>21</v>
      </c>
      <c r="H466" t="s">
        <v>24</v>
      </c>
      <c r="I466">
        <v>38.549999999999997</v>
      </c>
      <c r="J466" s="8">
        <f t="shared" si="98"/>
        <v>5.7323093801426118E-2</v>
      </c>
      <c r="K466" s="8">
        <f t="shared" si="99"/>
        <v>-0.16449934980494207</v>
      </c>
      <c r="L466">
        <f t="shared" si="97"/>
        <v>5.5105093801426121E-2</v>
      </c>
      <c r="M466">
        <f t="shared" si="93"/>
        <v>0.40138225305889408</v>
      </c>
      <c r="N466" s="15">
        <v>2.2179999999999999E-3</v>
      </c>
      <c r="O466" s="8">
        <f>(I466 - MAX(I362:I466)) / MAX(I362:I466)</f>
        <v>-0.26794530953285228</v>
      </c>
      <c r="P466" s="15">
        <v>-2.8500000000000001E-2</v>
      </c>
      <c r="Q466">
        <f t="shared" si="94"/>
        <v>1.0409800958111453</v>
      </c>
      <c r="R466">
        <f t="shared" si="95"/>
        <v>1.761611624062695E-2</v>
      </c>
      <c r="S466" s="15">
        <f t="shared" si="96"/>
        <v>9.2072610740458055E-2</v>
      </c>
    </row>
    <row r="467" spans="1:19" x14ac:dyDescent="0.3">
      <c r="A467" s="2">
        <v>45200</v>
      </c>
      <c r="B467">
        <v>2023</v>
      </c>
      <c r="C467">
        <v>10</v>
      </c>
      <c r="D467" s="5" t="s">
        <v>9</v>
      </c>
      <c r="E467" t="s">
        <v>21</v>
      </c>
      <c r="F467" t="s">
        <v>20</v>
      </c>
      <c r="G467" t="s">
        <v>21</v>
      </c>
      <c r="H467" t="s">
        <v>24</v>
      </c>
      <c r="I467">
        <v>35.49</v>
      </c>
      <c r="J467" s="8">
        <f t="shared" si="98"/>
        <v>-7.9377431906614671E-2</v>
      </c>
      <c r="K467" s="8">
        <f t="shared" si="99"/>
        <v>-0.23081924577373258</v>
      </c>
      <c r="L467">
        <f t="shared" si="97"/>
        <v>-8.1730431906614665E-2</v>
      </c>
      <c r="M467">
        <f t="shared" si="93"/>
        <v>0.31583037480428799</v>
      </c>
      <c r="N467" s="15">
        <v>2.3530000000000001E-3</v>
      </c>
      <c r="O467" s="8">
        <f>(I467 - MAX(I362:I467)) / MAX(I362:I467)</f>
        <v>-0.32605393087732615</v>
      </c>
      <c r="P467" s="15">
        <v>-2.7199999999999998E-2</v>
      </c>
      <c r="Q467">
        <f t="shared" si="94"/>
        <v>1.4974305764631897</v>
      </c>
      <c r="R467">
        <f t="shared" si="95"/>
        <v>1.7716378309097648E-2</v>
      </c>
      <c r="S467" s="15">
        <f t="shared" si="96"/>
        <v>9.7586458112111515E-2</v>
      </c>
    </row>
    <row r="468" spans="1:19" x14ac:dyDescent="0.3">
      <c r="A468" s="2">
        <v>45231</v>
      </c>
      <c r="B468">
        <v>2023</v>
      </c>
      <c r="C468">
        <v>11</v>
      </c>
      <c r="D468" s="5" t="s">
        <v>9</v>
      </c>
      <c r="E468" t="s">
        <v>21</v>
      </c>
      <c r="F468" t="s">
        <v>20</v>
      </c>
      <c r="G468" t="s">
        <v>21</v>
      </c>
      <c r="H468" t="s">
        <v>24</v>
      </c>
      <c r="I468">
        <v>37.54</v>
      </c>
      <c r="J468" s="8">
        <f t="shared" si="98"/>
        <v>5.7762750070442292E-2</v>
      </c>
      <c r="K468" s="8">
        <f t="shared" si="99"/>
        <v>-0.18638925010836638</v>
      </c>
      <c r="L468">
        <f t="shared" si="97"/>
        <v>5.5594750070442289E-2</v>
      </c>
      <c r="M468">
        <f t="shared" si="93"/>
        <v>0.23230501694133779</v>
      </c>
      <c r="N468" s="15">
        <v>2.1679999999999998E-3</v>
      </c>
      <c r="O468" s="8">
        <f>(I468 - MAX(I362:I468)) / MAX(I362:I468)</f>
        <v>-0.28712495252563613</v>
      </c>
      <c r="P468" s="15">
        <v>7.9100000000000004E-2</v>
      </c>
      <c r="Q468">
        <f t="shared" si="94"/>
        <v>1.1552899698307049</v>
      </c>
      <c r="R468">
        <f t="shared" si="95"/>
        <v>1.1221173505596448E-2</v>
      </c>
      <c r="S468" s="15">
        <f t="shared" si="96"/>
        <v>8.4636283200255083E-2</v>
      </c>
    </row>
    <row r="469" spans="1:19" x14ac:dyDescent="0.3">
      <c r="A469" s="2">
        <v>45261</v>
      </c>
      <c r="B469">
        <v>2023</v>
      </c>
      <c r="C469">
        <v>12</v>
      </c>
      <c r="D469" s="5" t="s">
        <v>9</v>
      </c>
      <c r="E469" t="s">
        <v>21</v>
      </c>
      <c r="F469" t="s">
        <v>20</v>
      </c>
      <c r="G469" t="s">
        <v>21</v>
      </c>
      <c r="H469" t="s">
        <v>24</v>
      </c>
      <c r="I469">
        <v>39.6</v>
      </c>
      <c r="J469" s="8">
        <f t="shared" si="98"/>
        <v>5.4874800213106083E-2</v>
      </c>
      <c r="K469" s="8">
        <f t="shared" si="99"/>
        <v>-0.14174252275682753</v>
      </c>
      <c r="L469">
        <f t="shared" si="97"/>
        <v>5.3122800213106086E-2</v>
      </c>
      <c r="M469">
        <f t="shared" ref="M469:M500" si="100">(AVERAGE(J458:J469)-AVERAGE(N458:N469))/STDEV(J458:J469)</f>
        <v>0.27548205619962096</v>
      </c>
      <c r="N469" s="15">
        <v>1.7520000000000001E-3</v>
      </c>
      <c r="O469" s="8">
        <f>(I469 - MAX(I362:I469)) / MAX(I362:I469)</f>
        <v>-0.24800607671857189</v>
      </c>
      <c r="P469" s="15">
        <v>3.1800000000000002E-2</v>
      </c>
      <c r="Q469">
        <f t="shared" ref="Q469:Q500" si="101" xml:space="preserve"> _xlfn.COVARIANCE.P(J458:J469, P458:P469) / _xlfn.VAR.P(P458:P469)</f>
        <v>1.2979913360561655</v>
      </c>
      <c r="R469">
        <f t="shared" ref="R469:R500" si="102">AVERAGE(J458:J469)-(AVERAGE(N458:N469)+Q469*(AVERAGE(P458:P469)-AVERAGE(N458:N469)))</f>
        <v>5.837887006788136E-3</v>
      </c>
      <c r="S469" s="15">
        <f t="shared" ref="S469:S500" si="103">STDEV(J458:J469)</f>
        <v>8.5056787583750945E-2</v>
      </c>
    </row>
    <row r="470" spans="1:19" x14ac:dyDescent="0.3">
      <c r="A470" s="2">
        <v>45292</v>
      </c>
      <c r="B470">
        <v>2024</v>
      </c>
      <c r="C470">
        <v>1</v>
      </c>
      <c r="D470" s="5" t="s">
        <v>9</v>
      </c>
      <c r="E470" t="s">
        <v>21</v>
      </c>
      <c r="F470" t="s">
        <v>20</v>
      </c>
      <c r="G470" t="s">
        <v>21</v>
      </c>
      <c r="H470" t="s">
        <v>24</v>
      </c>
      <c r="I470">
        <v>38.42</v>
      </c>
      <c r="J470" s="8">
        <f t="shared" si="98"/>
        <v>-2.9797979797979789E-2</v>
      </c>
      <c r="K470" s="8">
        <f t="shared" si="99"/>
        <v>-0.16731686172518467</v>
      </c>
      <c r="L470">
        <f t="shared" si="97"/>
        <v>-3.160997979797979E-2</v>
      </c>
      <c r="M470">
        <f t="shared" si="100"/>
        <v>7.8889056591208401E-2</v>
      </c>
      <c r="N470" s="15">
        <v>1.812E-3</v>
      </c>
      <c r="O470" s="8">
        <f>(I470 - MAX(I362:I470)) / MAX(I362:I470)</f>
        <v>-0.27041397645271548</v>
      </c>
      <c r="P470" s="15">
        <v>2.8000000000000001E-2</v>
      </c>
      <c r="Q470">
        <f t="shared" si="101"/>
        <v>0.8646028130355764</v>
      </c>
      <c r="R470">
        <f t="shared" si="102"/>
        <v>-1.2308030957153574E-3</v>
      </c>
      <c r="S470" s="15">
        <f t="shared" si="103"/>
        <v>6.9491479326077243E-2</v>
      </c>
    </row>
    <row r="471" spans="1:19" x14ac:dyDescent="0.3">
      <c r="A471" s="2">
        <v>45323</v>
      </c>
      <c r="B471">
        <v>2024</v>
      </c>
      <c r="C471">
        <v>2</v>
      </c>
      <c r="D471" s="5" t="s">
        <v>9</v>
      </c>
      <c r="E471" t="s">
        <v>21</v>
      </c>
      <c r="F471" t="s">
        <v>20</v>
      </c>
      <c r="G471" t="s">
        <v>21</v>
      </c>
      <c r="H471" t="s">
        <v>24</v>
      </c>
      <c r="I471">
        <v>38.270000000000003</v>
      </c>
      <c r="J471" s="8">
        <f t="shared" si="98"/>
        <v>-3.9042165538781511E-3</v>
      </c>
      <c r="K471" s="8">
        <f t="shared" si="99"/>
        <v>-0.17056783701777245</v>
      </c>
      <c r="L471">
        <f t="shared" si="97"/>
        <v>-5.8472165538781514E-3</v>
      </c>
      <c r="M471">
        <f t="shared" si="100"/>
        <v>3.0301616638098224E-2</v>
      </c>
      <c r="N471" s="15">
        <v>1.9430000000000001E-3</v>
      </c>
      <c r="O471" s="8">
        <f>(I471 - MAX(I362:I471)) / MAX(I362:I471)</f>
        <v>-0.27326243828332691</v>
      </c>
      <c r="P471" s="15">
        <v>4.9299999999999997E-2</v>
      </c>
      <c r="Q471">
        <f t="shared" si="101"/>
        <v>0.74657535280085296</v>
      </c>
      <c r="R471">
        <f t="shared" si="102"/>
        <v>-5.657437320553604E-3</v>
      </c>
      <c r="S471" s="15">
        <f t="shared" si="103"/>
        <v>6.8920626213551869E-2</v>
      </c>
    </row>
    <row r="472" spans="1:19" x14ac:dyDescent="0.3">
      <c r="A472" s="2">
        <v>45352</v>
      </c>
      <c r="B472">
        <v>2024</v>
      </c>
      <c r="C472">
        <v>3</v>
      </c>
      <c r="D472" s="5" t="s">
        <v>9</v>
      </c>
      <c r="E472" t="s">
        <v>21</v>
      </c>
      <c r="F472" t="s">
        <v>20</v>
      </c>
      <c r="G472" t="s">
        <v>21</v>
      </c>
      <c r="H472" t="s">
        <v>24</v>
      </c>
      <c r="I472">
        <v>38.450000000000003</v>
      </c>
      <c r="J472" s="8">
        <f t="shared" si="98"/>
        <v>4.7034230467729215E-3</v>
      </c>
      <c r="K472" s="8">
        <f t="shared" si="99"/>
        <v>-0.16666666666666718</v>
      </c>
      <c r="L472">
        <f t="shared" si="97"/>
        <v>2.7454230467729213E-3</v>
      </c>
      <c r="M472">
        <f t="shared" si="100"/>
        <v>0.19587597135100851</v>
      </c>
      <c r="N472" s="15">
        <v>1.9580000000000001E-3</v>
      </c>
      <c r="O472" s="8">
        <f>(I472 - MAX(I362:I472)) / MAX(I362:I472)</f>
        <v>-0.26984428408659311</v>
      </c>
      <c r="P472" s="15">
        <v>4.2199999999999988E-2</v>
      </c>
      <c r="Q472">
        <f t="shared" si="101"/>
        <v>0.73611640531705935</v>
      </c>
      <c r="R472">
        <f t="shared" si="102"/>
        <v>2.4513267782020048E-3</v>
      </c>
      <c r="S472" s="15">
        <f t="shared" si="103"/>
        <v>5.9061567422481004E-2</v>
      </c>
    </row>
    <row r="473" spans="1:19" x14ac:dyDescent="0.3">
      <c r="A473" s="2">
        <v>45383</v>
      </c>
      <c r="B473">
        <v>2024</v>
      </c>
      <c r="C473">
        <v>4</v>
      </c>
      <c r="D473" s="5" t="s">
        <v>9</v>
      </c>
      <c r="E473" t="s">
        <v>21</v>
      </c>
      <c r="F473" t="s">
        <v>20</v>
      </c>
      <c r="G473" t="s">
        <v>21</v>
      </c>
      <c r="H473" t="s">
        <v>24</v>
      </c>
      <c r="I473">
        <v>42.57</v>
      </c>
      <c r="J473" s="8">
        <f t="shared" si="98"/>
        <v>0.10715214564369303</v>
      </c>
      <c r="K473" s="8">
        <f t="shared" si="99"/>
        <v>-7.7373211963589705E-2</v>
      </c>
      <c r="L473">
        <f t="shared" si="97"/>
        <v>0.10511414564369304</v>
      </c>
      <c r="M473">
        <f t="shared" si="100"/>
        <v>0.2467051943214833</v>
      </c>
      <c r="N473" s="15">
        <v>2.0379999999999999E-3</v>
      </c>
      <c r="O473" s="8">
        <f>(I473 - MAX(I362:I473)) / MAX(I362:I473)</f>
        <v>-0.19160653247246481</v>
      </c>
      <c r="P473" s="15">
        <v>-3.1899999999999998E-2</v>
      </c>
      <c r="Q473">
        <f t="shared" si="101"/>
        <v>0.43565695628141293</v>
      </c>
      <c r="R473">
        <f t="shared" si="102"/>
        <v>1.1931726957722029E-2</v>
      </c>
      <c r="S473" s="15">
        <f t="shared" si="103"/>
        <v>6.4015786996997309E-2</v>
      </c>
    </row>
    <row r="474" spans="1:19" x14ac:dyDescent="0.3">
      <c r="A474" s="2">
        <v>45413</v>
      </c>
      <c r="B474">
        <v>2024</v>
      </c>
      <c r="C474">
        <v>5</v>
      </c>
      <c r="D474" s="5" t="s">
        <v>9</v>
      </c>
      <c r="E474" t="s">
        <v>21</v>
      </c>
      <c r="F474" t="s">
        <v>20</v>
      </c>
      <c r="G474" t="s">
        <v>21</v>
      </c>
      <c r="H474" t="s">
        <v>24</v>
      </c>
      <c r="I474">
        <v>44.65</v>
      </c>
      <c r="J474" s="8">
        <f t="shared" si="98"/>
        <v>4.8860700023490682E-2</v>
      </c>
      <c r="K474" s="8">
        <f t="shared" si="99"/>
        <v>-3.229302123970601E-2</v>
      </c>
      <c r="L474">
        <f t="shared" si="97"/>
        <v>4.6760700023490684E-2</v>
      </c>
      <c r="M474">
        <f t="shared" si="100"/>
        <v>0.27965570470303686</v>
      </c>
      <c r="N474" s="15">
        <v>2.0999999999999999E-3</v>
      </c>
      <c r="O474" s="8">
        <f>(I474 - MAX(I362:I474)) / MAX(I362:I474)</f>
        <v>-0.15210786175465246</v>
      </c>
      <c r="P474" s="15">
        <v>1.2699999999999999E-2</v>
      </c>
      <c r="Q474">
        <f t="shared" si="101"/>
        <v>0.49745424518022047</v>
      </c>
      <c r="R474">
        <f t="shared" si="102"/>
        <v>1.1805375443700333E-2</v>
      </c>
      <c r="S474" s="15">
        <f t="shared" si="103"/>
        <v>6.4643268941769888E-2</v>
      </c>
    </row>
    <row r="475" spans="1:19" x14ac:dyDescent="0.3">
      <c r="A475" s="2">
        <v>45444</v>
      </c>
      <c r="B475">
        <v>2024</v>
      </c>
      <c r="C475">
        <v>6</v>
      </c>
      <c r="D475" s="5" t="s">
        <v>9</v>
      </c>
      <c r="E475" t="s">
        <v>21</v>
      </c>
      <c r="F475" t="s">
        <v>20</v>
      </c>
      <c r="G475" t="s">
        <v>21</v>
      </c>
      <c r="H475" t="s">
        <v>24</v>
      </c>
      <c r="I475">
        <v>43.5</v>
      </c>
      <c r="J475" s="8">
        <f t="shared" si="98"/>
        <v>-2.5755879059350471E-2</v>
      </c>
      <c r="K475" s="8">
        <f t="shared" si="99"/>
        <v>-5.7217165149545557E-2</v>
      </c>
      <c r="L475">
        <f t="shared" si="97"/>
        <v>-2.782587905935047E-2</v>
      </c>
      <c r="M475">
        <f t="shared" si="100"/>
        <v>0.15160902338799906</v>
      </c>
      <c r="N475" s="15">
        <v>2.0699999999999998E-3</v>
      </c>
      <c r="O475" s="8">
        <f>(I475 - MAX(I362:I475)) / MAX(I362:I475)</f>
        <v>-0.17394606912267371</v>
      </c>
      <c r="P475" s="15">
        <v>-1.7999999999999999E-2</v>
      </c>
      <c r="Q475">
        <f t="shared" si="101"/>
        <v>0.46163765971484461</v>
      </c>
      <c r="R475">
        <f t="shared" si="102"/>
        <v>6.12472784950761E-3</v>
      </c>
      <c r="S475" s="15">
        <f t="shared" si="103"/>
        <v>6.331628830821423E-2</v>
      </c>
    </row>
    <row r="476" spans="1:19" x14ac:dyDescent="0.3">
      <c r="A476" s="2">
        <v>45474</v>
      </c>
      <c r="B476">
        <v>2024</v>
      </c>
      <c r="C476">
        <v>7</v>
      </c>
      <c r="D476" s="5" t="s">
        <v>9</v>
      </c>
      <c r="E476" t="s">
        <v>21</v>
      </c>
      <c r="F476" t="s">
        <v>20</v>
      </c>
      <c r="G476" t="s">
        <v>21</v>
      </c>
      <c r="H476" t="s">
        <v>24</v>
      </c>
      <c r="I476">
        <v>45.15</v>
      </c>
      <c r="J476" s="8">
        <f t="shared" si="98"/>
        <v>3.7931034482758585E-2</v>
      </c>
      <c r="K476" s="8">
        <f t="shared" si="99"/>
        <v>-2.1456436931080125E-2</v>
      </c>
      <c r="L476">
        <f t="shared" si="97"/>
        <v>3.5882034482758583E-2</v>
      </c>
      <c r="M476">
        <f t="shared" si="100"/>
        <v>0.13152738132817121</v>
      </c>
      <c r="N476" s="15">
        <v>2.049E-3</v>
      </c>
      <c r="O476" s="8">
        <f>(I476 - MAX(I362:I476)) / MAX(I362:I476)</f>
        <v>-0.14261298898594757</v>
      </c>
      <c r="P476" s="15">
        <v>-4.3E-3</v>
      </c>
      <c r="Q476">
        <f t="shared" si="101"/>
        <v>0.41592567559883131</v>
      </c>
      <c r="R476">
        <f t="shared" si="102"/>
        <v>5.8035837161804875E-3</v>
      </c>
      <c r="S476" s="15">
        <f t="shared" si="103"/>
        <v>6.2470463869923019E-2</v>
      </c>
    </row>
    <row r="477" spans="1:19" x14ac:dyDescent="0.3">
      <c r="A477" s="2">
        <v>45505</v>
      </c>
      <c r="B477">
        <v>2024</v>
      </c>
      <c r="C477">
        <v>8</v>
      </c>
      <c r="D477" s="5" t="s">
        <v>9</v>
      </c>
      <c r="E477" t="s">
        <v>21</v>
      </c>
      <c r="F477" t="s">
        <v>20</v>
      </c>
      <c r="G477" t="s">
        <v>21</v>
      </c>
      <c r="H477" t="s">
        <v>24</v>
      </c>
      <c r="I477">
        <v>44.46</v>
      </c>
      <c r="J477" s="8">
        <f t="shared" si="98"/>
        <v>-1.5282392026578023E-2</v>
      </c>
      <c r="K477" s="8">
        <f t="shared" si="99"/>
        <v>-3.6410923276983809E-2</v>
      </c>
      <c r="L477">
        <f t="shared" si="97"/>
        <v>-1.7122392026578025E-2</v>
      </c>
      <c r="M477">
        <f t="shared" si="100"/>
        <v>0.30745524931013712</v>
      </c>
      <c r="N477" s="15">
        <v>1.8400000000000001E-3</v>
      </c>
      <c r="O477" s="8">
        <f>(I477 - MAX(I362:I477)) / MAX(I362:I477)</f>
        <v>-0.15571591340676028</v>
      </c>
      <c r="P477" s="15">
        <v>1.7500000000000002E-2</v>
      </c>
      <c r="Q477">
        <f t="shared" si="101"/>
        <v>4.0207334489484832E-2</v>
      </c>
      <c r="R477">
        <f t="shared" si="102"/>
        <v>1.5425573422096018E-2</v>
      </c>
      <c r="S477" s="15">
        <f t="shared" si="103"/>
        <v>5.1549249406765037E-2</v>
      </c>
    </row>
    <row r="478" spans="1:19" x14ac:dyDescent="0.3">
      <c r="A478" s="2">
        <v>45536</v>
      </c>
      <c r="B478">
        <v>2024</v>
      </c>
      <c r="C478">
        <v>9</v>
      </c>
      <c r="D478" s="5" t="s">
        <v>9</v>
      </c>
      <c r="E478" t="s">
        <v>21</v>
      </c>
      <c r="F478" t="s">
        <v>20</v>
      </c>
      <c r="G478" t="s">
        <v>21</v>
      </c>
      <c r="H478" t="s">
        <v>24</v>
      </c>
      <c r="I478">
        <v>45.19</v>
      </c>
      <c r="J478" s="8">
        <f t="shared" si="98"/>
        <v>1.6419253261358454E-2</v>
      </c>
      <c r="K478" s="8">
        <f t="shared" si="99"/>
        <v>-2.0589510186389992E-2</v>
      </c>
      <c r="L478">
        <f t="shared" si="97"/>
        <v>1.4613253261358454E-2</v>
      </c>
      <c r="M478">
        <f t="shared" si="100"/>
        <v>0.24932745298776954</v>
      </c>
      <c r="N478" s="15">
        <v>1.8060000000000001E-3</v>
      </c>
      <c r="O478" s="8">
        <f>(I478 - MAX(I362:I478)) / MAX(I362:I478)</f>
        <v>-0.14185339916445119</v>
      </c>
      <c r="P478" s="15">
        <v>8.6E-3</v>
      </c>
      <c r="Q478">
        <f t="shared" si="101"/>
        <v>0.19261649777121359</v>
      </c>
      <c r="R478">
        <f t="shared" si="102"/>
        <v>9.8437703859202974E-3</v>
      </c>
      <c r="S478" s="15">
        <f t="shared" si="103"/>
        <v>5.003366911109336E-2</v>
      </c>
    </row>
    <row r="479" spans="1:19" x14ac:dyDescent="0.3">
      <c r="A479" s="2">
        <v>45566</v>
      </c>
      <c r="B479">
        <v>2024</v>
      </c>
      <c r="C479">
        <v>10</v>
      </c>
      <c r="D479" s="5" t="s">
        <v>9</v>
      </c>
      <c r="E479" t="s">
        <v>21</v>
      </c>
      <c r="F479" t="s">
        <v>20</v>
      </c>
      <c r="G479" t="s">
        <v>21</v>
      </c>
      <c r="H479" t="s">
        <v>24</v>
      </c>
      <c r="I479">
        <v>46.13</v>
      </c>
      <c r="J479" s="8">
        <f t="shared" si="98"/>
        <v>2.0801062181898759E-2</v>
      </c>
      <c r="K479" s="8">
        <f t="shared" si="99"/>
        <v>-2.1673168617308836E-4</v>
      </c>
      <c r="L479">
        <f t="shared" si="97"/>
        <v>1.894306218189876E-2</v>
      </c>
      <c r="M479">
        <f t="shared" si="100"/>
        <v>0.51672020965869325</v>
      </c>
      <c r="N479" s="15">
        <v>1.8580000000000001E-3</v>
      </c>
      <c r="O479" s="8">
        <f>(I479 - MAX(I362:I479)) / MAX(I362:I479)</f>
        <v>-0.12400303835928587</v>
      </c>
      <c r="P479" s="15">
        <v>-3.4599999999999999E-2</v>
      </c>
      <c r="Q479">
        <f t="shared" si="101"/>
        <v>-0.15596317410129354</v>
      </c>
      <c r="R479">
        <f t="shared" si="102"/>
        <v>2.2904821299890167E-2</v>
      </c>
      <c r="S479" s="15">
        <f t="shared" si="103"/>
        <v>4.0378186751380482E-2</v>
      </c>
    </row>
    <row r="480" spans="1:19" x14ac:dyDescent="0.3">
      <c r="A480" s="2">
        <v>45597</v>
      </c>
      <c r="B480">
        <v>2024</v>
      </c>
      <c r="C480">
        <v>11</v>
      </c>
      <c r="D480" s="5" t="s">
        <v>9</v>
      </c>
      <c r="E480" t="s">
        <v>21</v>
      </c>
      <c r="F480" t="s">
        <v>20</v>
      </c>
      <c r="G480" t="s">
        <v>21</v>
      </c>
      <c r="H480" t="s">
        <v>24</v>
      </c>
      <c r="I480">
        <v>46.89</v>
      </c>
      <c r="J480" s="8">
        <f t="shared" si="98"/>
        <v>1.6475178842401864E-2</v>
      </c>
      <c r="K480" s="8">
        <f t="shared" si="99"/>
        <v>1.6254876462938217E-2</v>
      </c>
      <c r="L480">
        <f t="shared" si="97"/>
        <v>1.4554178842401864E-2</v>
      </c>
      <c r="M480">
        <f t="shared" si="100"/>
        <v>0.44889844341463564</v>
      </c>
      <c r="N480" s="15">
        <v>1.921E-3</v>
      </c>
      <c r="O480" s="8">
        <f>(I480 - MAX(I362:I480)) / MAX(I362:I480)</f>
        <v>-0.10957083175085447</v>
      </c>
      <c r="P480" s="15">
        <v>-4.7999999999999996E-3</v>
      </c>
      <c r="Q480">
        <f t="shared" si="101"/>
        <v>-0.52380184140438113</v>
      </c>
      <c r="R480">
        <f t="shared" si="102"/>
        <v>2.0646047227519129E-2</v>
      </c>
      <c r="S480" s="15">
        <f t="shared" si="103"/>
        <v>3.8859964380321479E-2</v>
      </c>
    </row>
    <row r="481" spans="1:19" x14ac:dyDescent="0.3">
      <c r="A481" s="2">
        <v>45627</v>
      </c>
      <c r="B481">
        <v>2024</v>
      </c>
      <c r="C481">
        <v>12</v>
      </c>
      <c r="D481" s="5" t="s">
        <v>9</v>
      </c>
      <c r="E481" t="s">
        <v>21</v>
      </c>
      <c r="F481" t="s">
        <v>20</v>
      </c>
      <c r="G481" t="s">
        <v>21</v>
      </c>
      <c r="H481" t="s">
        <v>24</v>
      </c>
      <c r="I481">
        <v>49.46</v>
      </c>
      <c r="J481" s="8">
        <f t="shared" si="98"/>
        <v>5.4809127745788021E-2</v>
      </c>
      <c r="K481" s="8">
        <f t="shared" si="99"/>
        <v>7.1954919809275486E-2</v>
      </c>
      <c r="L481">
        <f t="shared" si="97"/>
        <v>5.2993127745788023E-2</v>
      </c>
      <c r="M481">
        <f t="shared" si="100"/>
        <v>0.44868329402082369</v>
      </c>
      <c r="N481" s="15">
        <v>1.8159999999999999E-3</v>
      </c>
      <c r="O481" s="8">
        <f>(I481 - MAX(I362:I481)) / MAX(I362:I481)</f>
        <v>-6.0767185719711278E-2</v>
      </c>
      <c r="P481" s="15">
        <v>1.35E-2</v>
      </c>
      <c r="Q481">
        <f t="shared" si="101"/>
        <v>-0.64509111384955942</v>
      </c>
      <c r="R481">
        <f t="shared" si="102"/>
        <v>2.0389447754154109E-2</v>
      </c>
      <c r="S481" s="15">
        <f t="shared" si="103"/>
        <v>3.8854514341963069E-2</v>
      </c>
    </row>
    <row r="482" spans="1:19" x14ac:dyDescent="0.3">
      <c r="A482" s="2">
        <v>42005</v>
      </c>
      <c r="B482">
        <v>2015</v>
      </c>
      <c r="C482">
        <v>1</v>
      </c>
      <c r="D482" s="5" t="s">
        <v>9</v>
      </c>
      <c r="E482" t="s">
        <v>40</v>
      </c>
      <c r="F482" t="s">
        <v>11</v>
      </c>
      <c r="G482" t="s">
        <v>16</v>
      </c>
      <c r="H482" t="s">
        <v>22</v>
      </c>
      <c r="I482">
        <v>5.3052999999999999</v>
      </c>
      <c r="J482" s="8">
        <v>-0.13187262730723931</v>
      </c>
      <c r="K482" s="8">
        <v>-0.13187262730723931</v>
      </c>
      <c r="L482">
        <f t="shared" si="97"/>
        <v>-0.1321976273072393</v>
      </c>
      <c r="M482" t="str">
        <f>IF(COUNT(J482:J482)&lt;12,"",(AVERAGE(J482:J482)-N482)/STDEV(J482:J482))</f>
        <v/>
      </c>
      <c r="N482" s="15">
        <v>3.2499999999999999E-4</v>
      </c>
      <c r="O482" s="8">
        <f>(I482 - MAX(I482:I482)) / MAX(I482:I482)</f>
        <v>0</v>
      </c>
      <c r="P482" s="15">
        <v>6.5199999999999994E-2</v>
      </c>
    </row>
    <row r="483" spans="1:19" x14ac:dyDescent="0.3">
      <c r="A483" s="2">
        <v>42036</v>
      </c>
      <c r="B483">
        <v>2015</v>
      </c>
      <c r="C483">
        <v>2</v>
      </c>
      <c r="D483" s="5" t="s">
        <v>9</v>
      </c>
      <c r="E483" t="s">
        <v>40</v>
      </c>
      <c r="F483" t="s">
        <v>11</v>
      </c>
      <c r="G483" t="s">
        <v>16</v>
      </c>
      <c r="H483" t="s">
        <v>22</v>
      </c>
      <c r="I483">
        <v>5.8154000000000003</v>
      </c>
      <c r="J483" s="8">
        <f t="shared" ref="J483:J514" si="104">(I483-I482)/I482</f>
        <v>9.6149133884983029E-2</v>
      </c>
      <c r="K483" s="8">
        <f t="shared" ref="K483:K514" si="105">(K482+1)*(J483+1)-1</f>
        <v>-4.840293232098436E-2</v>
      </c>
      <c r="L483">
        <f t="shared" si="97"/>
        <v>9.5897133884983027E-2</v>
      </c>
      <c r="M483" t="str">
        <f>IF(COUNT(J482:J483)&lt;12,"",(AVERAGE(J482:J483)-N483)/STDEV(J482:J483))</f>
        <v/>
      </c>
      <c r="N483" s="15">
        <v>2.52E-4</v>
      </c>
      <c r="O483" s="8">
        <f>(I483 - MAX(I482:I483)) / MAX(I482:I483)</f>
        <v>0</v>
      </c>
      <c r="P483" s="15">
        <v>7.3899999999999993E-2</v>
      </c>
    </row>
    <row r="484" spans="1:19" x14ac:dyDescent="0.3">
      <c r="A484" s="2">
        <v>42064</v>
      </c>
      <c r="B484">
        <v>2015</v>
      </c>
      <c r="C484">
        <v>3</v>
      </c>
      <c r="D484" s="5" t="s">
        <v>9</v>
      </c>
      <c r="E484" t="s">
        <v>40</v>
      </c>
      <c r="F484" t="s">
        <v>11</v>
      </c>
      <c r="G484" t="s">
        <v>16</v>
      </c>
      <c r="H484" t="s">
        <v>22</v>
      </c>
      <c r="I484">
        <v>6.2462</v>
      </c>
      <c r="J484" s="8">
        <f t="shared" si="104"/>
        <v>7.4079169102727174E-2</v>
      </c>
      <c r="K484" s="8">
        <f t="shared" si="105"/>
        <v>2.2090587773268666E-2</v>
      </c>
      <c r="L484">
        <f t="shared" si="97"/>
        <v>7.389016910272718E-2</v>
      </c>
      <c r="M484" t="str">
        <f>IF(COUNT(J482:J484)&lt;12,"",(AVERAGE(J482:J484)-N484)/STDEV(J482:J484))</f>
        <v/>
      </c>
      <c r="N484" s="15">
        <v>1.8900000000000001E-4</v>
      </c>
      <c r="O484" s="8">
        <f>(I484 - MAX(I482:I484)) / MAX(I482:I484)</f>
        <v>0</v>
      </c>
      <c r="P484" s="15">
        <v>2.7300000000000001E-2</v>
      </c>
    </row>
    <row r="485" spans="1:19" x14ac:dyDescent="0.3">
      <c r="A485" s="2">
        <v>42095</v>
      </c>
      <c r="B485">
        <v>2015</v>
      </c>
      <c r="C485">
        <v>4</v>
      </c>
      <c r="D485" s="5" t="s">
        <v>9</v>
      </c>
      <c r="E485" t="s">
        <v>40</v>
      </c>
      <c r="F485" t="s">
        <v>11</v>
      </c>
      <c r="G485" t="s">
        <v>16</v>
      </c>
      <c r="H485" t="s">
        <v>22</v>
      </c>
      <c r="I485">
        <v>6.1234000000000002</v>
      </c>
      <c r="J485" s="8">
        <f t="shared" si="104"/>
        <v>-1.9659953251576927E-2</v>
      </c>
      <c r="K485" s="8">
        <f t="shared" si="105"/>
        <v>1.996334598769467E-3</v>
      </c>
      <c r="L485">
        <f t="shared" si="97"/>
        <v>-1.9761953251576928E-2</v>
      </c>
      <c r="M485" t="str">
        <f>IF(COUNT(J482:J485)&lt;12,"",(AVERAGE(J482:J485)-N485)/STDEV(J482:J485))</f>
        <v/>
      </c>
      <c r="N485" s="15">
        <v>1.02E-4</v>
      </c>
      <c r="O485" s="8">
        <f>(I485 - MAX(I482:I485)) / MAX(I482:I485)</f>
        <v>-1.9659953251576927E-2</v>
      </c>
      <c r="P485" s="15">
        <v>-2.2100000000000002E-2</v>
      </c>
    </row>
    <row r="486" spans="1:19" x14ac:dyDescent="0.3">
      <c r="A486" s="2">
        <v>42125</v>
      </c>
      <c r="B486">
        <v>2015</v>
      </c>
      <c r="C486">
        <v>5</v>
      </c>
      <c r="D486" s="5" t="s">
        <v>9</v>
      </c>
      <c r="E486" t="s">
        <v>40</v>
      </c>
      <c r="F486" t="s">
        <v>11</v>
      </c>
      <c r="G486" t="s">
        <v>16</v>
      </c>
      <c r="H486" t="s">
        <v>22</v>
      </c>
      <c r="I486">
        <v>5.8769</v>
      </c>
      <c r="J486" s="8">
        <f t="shared" si="104"/>
        <v>-4.0255413659078317E-2</v>
      </c>
      <c r="K486" s="8">
        <f t="shared" si="105"/>
        <v>-3.8339442335384333E-2</v>
      </c>
      <c r="L486">
        <f t="shared" si="97"/>
        <v>-4.0718413659078315E-2</v>
      </c>
      <c r="M486" t="str">
        <f>IF(COUNT(J482:J486)&lt;12,"",(AVERAGE(J482:J486)-N486)/STDEV(J482:J486))</f>
        <v/>
      </c>
      <c r="N486" s="15">
        <v>4.6299999999999998E-4</v>
      </c>
      <c r="O486" s="8">
        <f>(I486 - MAX(I482:I486)) / MAX(I482:I486)</f>
        <v>-5.912394735999487E-2</v>
      </c>
      <c r="P486" s="15">
        <v>-1.24E-2</v>
      </c>
    </row>
    <row r="487" spans="1:19" x14ac:dyDescent="0.3">
      <c r="A487" s="2">
        <v>42156</v>
      </c>
      <c r="B487">
        <v>2015</v>
      </c>
      <c r="C487">
        <v>6</v>
      </c>
      <c r="D487" s="5" t="s">
        <v>9</v>
      </c>
      <c r="E487" t="s">
        <v>40</v>
      </c>
      <c r="F487" t="s">
        <v>11</v>
      </c>
      <c r="G487" t="s">
        <v>16</v>
      </c>
      <c r="H487" t="s">
        <v>22</v>
      </c>
      <c r="I487">
        <v>5.6775000000000002</v>
      </c>
      <c r="J487" s="8">
        <f t="shared" si="104"/>
        <v>-3.392945260256254E-2</v>
      </c>
      <c r="K487" s="8">
        <f t="shared" si="105"/>
        <v>-7.0968058646419752E-2</v>
      </c>
      <c r="L487">
        <f t="shared" si="97"/>
        <v>-3.4590452602562542E-2</v>
      </c>
      <c r="M487" t="str">
        <f>IF(COUNT(J482:J487)&lt;12,"",(AVERAGE(J482:J487)-N487)/STDEV(J482:J487))</f>
        <v/>
      </c>
      <c r="N487" s="15">
        <v>6.6100000000000002E-4</v>
      </c>
      <c r="O487" s="8">
        <f>(I487 - MAX(I482:I487)) / MAX(I482:I487)</f>
        <v>-9.1047356792930065E-2</v>
      </c>
      <c r="P487" s="15">
        <v>-4.0999999999999988E-2</v>
      </c>
    </row>
    <row r="488" spans="1:19" x14ac:dyDescent="0.3">
      <c r="A488" s="2">
        <v>42186</v>
      </c>
      <c r="B488">
        <v>2015</v>
      </c>
      <c r="C488">
        <v>7</v>
      </c>
      <c r="D488" s="5" t="s">
        <v>9</v>
      </c>
      <c r="E488" t="s">
        <v>40</v>
      </c>
      <c r="F488" t="s">
        <v>11</v>
      </c>
      <c r="G488" t="s">
        <v>16</v>
      </c>
      <c r="H488" t="s">
        <v>22</v>
      </c>
      <c r="I488">
        <v>5.6955999999999998</v>
      </c>
      <c r="J488" s="8">
        <f t="shared" si="104"/>
        <v>3.1880228974019479E-3</v>
      </c>
      <c r="K488" s="8">
        <f t="shared" si="105"/>
        <v>-6.8006283544966739E-2</v>
      </c>
      <c r="L488">
        <f t="shared" si="97"/>
        <v>2.5960228974019478E-3</v>
      </c>
      <c r="M488" t="str">
        <f>IF(COUNT(J482:J488)&lt;12,"",(AVERAGE(J482:J488)-N488)/STDEV(J482:J488))</f>
        <v/>
      </c>
      <c r="N488" s="15">
        <v>5.9199999999999997E-4</v>
      </c>
      <c r="O488" s="8">
        <f>(I488 - MAX(I482:I488)) / MAX(I482:I488)</f>
        <v>-8.8149594953731897E-2</v>
      </c>
      <c r="P488" s="15">
        <v>5.1499999999999997E-2</v>
      </c>
    </row>
    <row r="489" spans="1:19" x14ac:dyDescent="0.3">
      <c r="A489" s="2">
        <v>42217</v>
      </c>
      <c r="B489">
        <v>2015</v>
      </c>
      <c r="C489">
        <v>8</v>
      </c>
      <c r="D489" s="5" t="s">
        <v>9</v>
      </c>
      <c r="E489" t="s">
        <v>40</v>
      </c>
      <c r="F489" t="s">
        <v>11</v>
      </c>
      <c r="G489" t="s">
        <v>16</v>
      </c>
      <c r="H489" t="s">
        <v>22</v>
      </c>
      <c r="I489">
        <v>4.9488000000000003</v>
      </c>
      <c r="J489" s="8">
        <f t="shared" si="104"/>
        <v>-0.13111875833977096</v>
      </c>
      <c r="K489" s="8">
        <f t="shared" si="105"/>
        <v>-0.19020814242701922</v>
      </c>
      <c r="L489">
        <f t="shared" si="97"/>
        <v>-0.13162575833977097</v>
      </c>
      <c r="M489" t="str">
        <f>IF(COUNT(J482:J489)&lt;12,"",(AVERAGE(J482:J489)-N489)/STDEV(J482:J489))</f>
        <v/>
      </c>
      <c r="N489" s="15">
        <v>5.0699999999999996E-4</v>
      </c>
      <c r="O489" s="8">
        <f>(I489 - MAX(I482:I489)) / MAX(I482:I489)</f>
        <v>-0.2077102878550158</v>
      </c>
      <c r="P489" s="15">
        <v>-9.1899999999999996E-2</v>
      </c>
    </row>
    <row r="490" spans="1:19" x14ac:dyDescent="0.3">
      <c r="A490" s="2">
        <v>42248</v>
      </c>
      <c r="B490">
        <v>2015</v>
      </c>
      <c r="C490">
        <v>9</v>
      </c>
      <c r="D490" s="5" t="s">
        <v>9</v>
      </c>
      <c r="E490" t="s">
        <v>40</v>
      </c>
      <c r="F490" t="s">
        <v>11</v>
      </c>
      <c r="G490" t="s">
        <v>16</v>
      </c>
      <c r="H490" t="s">
        <v>22</v>
      </c>
      <c r="I490">
        <v>4.2998000000000003</v>
      </c>
      <c r="J490" s="8">
        <f t="shared" si="104"/>
        <v>-0.13114290333010023</v>
      </c>
      <c r="K490" s="8">
        <f t="shared" si="105"/>
        <v>-0.296406597722215</v>
      </c>
      <c r="L490">
        <f t="shared" si="97"/>
        <v>-0.13168790333010022</v>
      </c>
      <c r="M490" t="str">
        <f>IF(COUNT(J482:J490)&lt;12,"",(AVERAGE(J482:J490)-N490)/STDEV(J482:J490))</f>
        <v/>
      </c>
      <c r="N490" s="15">
        <v>5.4500000000000002E-4</v>
      </c>
      <c r="O490" s="8">
        <f>(I490 - MAX(I482:I490)) / MAX(I482:I490)</f>
        <v>-0.31161346098427839</v>
      </c>
      <c r="P490" s="15">
        <v>-5.1700000000000003E-2</v>
      </c>
    </row>
    <row r="491" spans="1:19" x14ac:dyDescent="0.3">
      <c r="A491" s="2">
        <v>42278</v>
      </c>
      <c r="B491">
        <v>2015</v>
      </c>
      <c r="C491">
        <v>10</v>
      </c>
      <c r="D491" s="5" t="s">
        <v>9</v>
      </c>
      <c r="E491" t="s">
        <v>40</v>
      </c>
      <c r="F491" t="s">
        <v>11</v>
      </c>
      <c r="G491" t="s">
        <v>16</v>
      </c>
      <c r="H491" t="s">
        <v>22</v>
      </c>
      <c r="I491">
        <v>4.6604999999999999</v>
      </c>
      <c r="J491" s="8">
        <f t="shared" si="104"/>
        <v>8.3887622680124549E-2</v>
      </c>
      <c r="K491" s="8">
        <f t="shared" si="105"/>
        <v>-0.23738381987171109</v>
      </c>
      <c r="L491">
        <f t="shared" si="97"/>
        <v>8.3455622680124547E-2</v>
      </c>
      <c r="M491" t="str">
        <f>IF(COUNT(J482:J491)&lt;12,"",(AVERAGE(J482:J491)-N491)/STDEV(J482:J491))</f>
        <v/>
      </c>
      <c r="N491" s="15">
        <v>4.3199999999999998E-4</v>
      </c>
      <c r="O491" s="8">
        <f>(I491 - MAX(I482:I491)) / MAX(I482:I491)</f>
        <v>-0.25386635074125069</v>
      </c>
      <c r="P491" s="15">
        <v>0.1024</v>
      </c>
    </row>
    <row r="492" spans="1:19" x14ac:dyDescent="0.3">
      <c r="A492" s="2">
        <v>42309</v>
      </c>
      <c r="B492">
        <v>2015</v>
      </c>
      <c r="C492">
        <v>11</v>
      </c>
      <c r="D492" s="5" t="s">
        <v>9</v>
      </c>
      <c r="E492" t="s">
        <v>40</v>
      </c>
      <c r="F492" t="s">
        <v>11</v>
      </c>
      <c r="G492" t="s">
        <v>16</v>
      </c>
      <c r="H492" t="s">
        <v>22</v>
      </c>
      <c r="I492">
        <v>4.7226999999999997</v>
      </c>
      <c r="J492" s="8">
        <f t="shared" si="104"/>
        <v>1.3346207488466863E-2</v>
      </c>
      <c r="K492" s="8">
        <f t="shared" si="105"/>
        <v>-0.22720578609765685</v>
      </c>
      <c r="L492">
        <f t="shared" si="97"/>
        <v>1.2916207488466863E-2</v>
      </c>
      <c r="M492" t="str">
        <f>IF(COUNT(J482:J492)&lt;12,"",(AVERAGE(J482:J492)-N492)/STDEV(J482:J492))</f>
        <v/>
      </c>
      <c r="N492" s="15">
        <v>4.2999999999999999E-4</v>
      </c>
      <c r="O492" s="8">
        <f>(I492 - MAX(I482:I492)) / MAX(I482:I492)</f>
        <v>-0.24390829624411647</v>
      </c>
      <c r="P492" s="15">
        <v>2.58E-2</v>
      </c>
    </row>
    <row r="493" spans="1:19" x14ac:dyDescent="0.3">
      <c r="A493" s="2">
        <v>42339</v>
      </c>
      <c r="B493">
        <v>2015</v>
      </c>
      <c r="C493">
        <v>12</v>
      </c>
      <c r="D493" s="5" t="s">
        <v>9</v>
      </c>
      <c r="E493" t="s">
        <v>40</v>
      </c>
      <c r="F493" t="s">
        <v>11</v>
      </c>
      <c r="G493" t="s">
        <v>16</v>
      </c>
      <c r="H493" t="s">
        <v>22</v>
      </c>
      <c r="I493">
        <v>4.1651999999999996</v>
      </c>
      <c r="J493" s="8">
        <f t="shared" si="104"/>
        <v>-0.11804687996273321</v>
      </c>
      <c r="K493" s="8">
        <f t="shared" si="105"/>
        <v>-0.31843173190208152</v>
      </c>
      <c r="L493">
        <f t="shared" si="97"/>
        <v>-0.1185018799627332</v>
      </c>
      <c r="M493">
        <f t="shared" ref="M493:M524" si="106">(AVERAGE(J482:J493)-AVERAGE(N482:N493))/STDEV(J482:J493)</f>
        <v>-0.32956747672058911</v>
      </c>
      <c r="N493" s="15">
        <v>4.55E-4</v>
      </c>
      <c r="O493" s="8">
        <f>(I493 - MAX(I482:I493)) / MAX(I482:I493)</f>
        <v>-0.33316256283820572</v>
      </c>
      <c r="P493" s="15">
        <v>-6.2300000000000001E-2</v>
      </c>
      <c r="Q493">
        <f t="shared" ref="Q493:Q524" si="107" xml:space="preserve"> _xlfn.COVARIANCE.P(J482:J493, P482:P493) / _xlfn.VAR.P(P482:P493)</f>
        <v>0.96872104700713368</v>
      </c>
      <c r="R493">
        <f t="shared" ref="R493:R524" si="108">AVERAGE(J482:J493)-(AVERAGE(N482:N493)+Q493*(AVERAGE(P482:P493)-AVERAGE(N482:N493)))</f>
        <v>-3.3183917399574429E-2</v>
      </c>
      <c r="S493" s="15">
        <f t="shared" ref="S493:S524" si="109">STDEV(J482:J493)</f>
        <v>8.6054413850200295E-2</v>
      </c>
    </row>
    <row r="494" spans="1:19" x14ac:dyDescent="0.3">
      <c r="A494" s="2">
        <v>42370</v>
      </c>
      <c r="B494">
        <v>2016</v>
      </c>
      <c r="C494">
        <v>1</v>
      </c>
      <c r="D494" s="5" t="s">
        <v>9</v>
      </c>
      <c r="E494" t="s">
        <v>40</v>
      </c>
      <c r="F494" t="s">
        <v>11</v>
      </c>
      <c r="G494" t="s">
        <v>16</v>
      </c>
      <c r="H494" t="s">
        <v>22</v>
      </c>
      <c r="I494">
        <v>3.5958999999999999</v>
      </c>
      <c r="J494" s="8">
        <f t="shared" si="104"/>
        <v>-0.13668011139921246</v>
      </c>
      <c r="K494" s="8">
        <f t="shared" si="105"/>
        <v>-0.41158855871187328</v>
      </c>
      <c r="L494">
        <f t="shared" si="97"/>
        <v>-0.13703911139921246</v>
      </c>
      <c r="M494">
        <f t="shared" si="106"/>
        <v>-0.33218176365200353</v>
      </c>
      <c r="N494" s="15">
        <v>3.59E-4</v>
      </c>
      <c r="O494" s="8">
        <f>(I494 - MAX(I482:I494)) / MAX(I482:I494)</f>
        <v>-0.42430597803464509</v>
      </c>
      <c r="P494" s="15">
        <v>-7.3899999999999993E-2</v>
      </c>
      <c r="Q494">
        <f t="shared" si="107"/>
        <v>1.2927702840105633</v>
      </c>
      <c r="R494">
        <f t="shared" si="108"/>
        <v>-2.0211763496215375E-2</v>
      </c>
      <c r="S494" s="15">
        <f t="shared" si="109"/>
        <v>8.659172834989784E-2</v>
      </c>
    </row>
    <row r="495" spans="1:19" x14ac:dyDescent="0.3">
      <c r="A495" s="2">
        <v>42401</v>
      </c>
      <c r="B495">
        <v>2016</v>
      </c>
      <c r="C495">
        <v>2</v>
      </c>
      <c r="D495" s="5" t="s">
        <v>9</v>
      </c>
      <c r="E495" t="s">
        <v>40</v>
      </c>
      <c r="F495" t="s">
        <v>11</v>
      </c>
      <c r="G495" t="s">
        <v>16</v>
      </c>
      <c r="H495" t="s">
        <v>22</v>
      </c>
      <c r="I495">
        <v>3.4296000000000002</v>
      </c>
      <c r="J495" s="8">
        <f t="shared" si="104"/>
        <v>-4.624711476959862E-2</v>
      </c>
      <c r="K495" s="8">
        <f t="shared" si="105"/>
        <v>-0.43880089016887025</v>
      </c>
      <c r="L495">
        <f t="shared" si="97"/>
        <v>-4.6391114769598618E-2</v>
      </c>
      <c r="M495">
        <f t="shared" si="106"/>
        <v>-0.5259768617703271</v>
      </c>
      <c r="N495" s="15">
        <v>1.44E-4</v>
      </c>
      <c r="O495" s="8">
        <f>(I495 - MAX(I482:I495)) / MAX(I482:I495)</f>
        <v>-0.45093016554064869</v>
      </c>
      <c r="P495" s="15">
        <v>-3.2599999999999997E-2</v>
      </c>
      <c r="Q495">
        <f t="shared" si="107"/>
        <v>1.2325443420448674</v>
      </c>
      <c r="R495">
        <f t="shared" si="108"/>
        <v>-2.1539809152096606E-2</v>
      </c>
      <c r="S495" s="15">
        <f t="shared" si="109"/>
        <v>7.7230673149326703E-2</v>
      </c>
    </row>
    <row r="496" spans="1:19" x14ac:dyDescent="0.3">
      <c r="A496" s="2">
        <v>42430</v>
      </c>
      <c r="B496">
        <v>2016</v>
      </c>
      <c r="C496">
        <v>3</v>
      </c>
      <c r="D496" s="5" t="s">
        <v>9</v>
      </c>
      <c r="E496" t="s">
        <v>40</v>
      </c>
      <c r="F496" t="s">
        <v>11</v>
      </c>
      <c r="G496" t="s">
        <v>16</v>
      </c>
      <c r="H496" t="s">
        <v>22</v>
      </c>
      <c r="I496">
        <v>3.5402</v>
      </c>
      <c r="J496" s="8">
        <f t="shared" si="104"/>
        <v>3.224865873571256E-2</v>
      </c>
      <c r="K496" s="8">
        <f t="shared" si="105"/>
        <v>-0.42070297159314052</v>
      </c>
      <c r="L496">
        <f t="shared" si="97"/>
        <v>3.2105658735712563E-2</v>
      </c>
      <c r="M496">
        <f t="shared" si="106"/>
        <v>-0.60920259663847964</v>
      </c>
      <c r="N496" s="15">
        <v>1.4300000000000001E-4</v>
      </c>
      <c r="O496" s="8">
        <f>(I496 - MAX(I482:I496)) / MAX(I482:I496)</f>
        <v>-0.43322339982709485</v>
      </c>
      <c r="P496" s="15">
        <v>2.01E-2</v>
      </c>
      <c r="Q496">
        <f t="shared" si="107"/>
        <v>1.1862311607863756</v>
      </c>
      <c r="R496">
        <f t="shared" si="108"/>
        <v>-2.5031661580744127E-2</v>
      </c>
      <c r="S496" s="15">
        <f t="shared" si="109"/>
        <v>7.2395603481397758E-2</v>
      </c>
    </row>
    <row r="497" spans="1:19" x14ac:dyDescent="0.3">
      <c r="A497" s="2">
        <v>42461</v>
      </c>
      <c r="B497">
        <v>2016</v>
      </c>
      <c r="C497">
        <v>4</v>
      </c>
      <c r="D497" s="5" t="s">
        <v>9</v>
      </c>
      <c r="E497" t="s">
        <v>40</v>
      </c>
      <c r="F497" t="s">
        <v>11</v>
      </c>
      <c r="G497" t="s">
        <v>16</v>
      </c>
      <c r="H497" t="s">
        <v>22</v>
      </c>
      <c r="I497">
        <v>4.04</v>
      </c>
      <c r="J497" s="8">
        <f t="shared" si="104"/>
        <v>0.14117846449353144</v>
      </c>
      <c r="K497" s="8">
        <f t="shared" si="105"/>
        <v>-0.33891870663699442</v>
      </c>
      <c r="L497">
        <f t="shared" si="97"/>
        <v>0.14106646449353144</v>
      </c>
      <c r="M497">
        <f t="shared" si="106"/>
        <v>-0.34112659627861147</v>
      </c>
      <c r="N497" s="15">
        <v>1.12E-4</v>
      </c>
      <c r="O497" s="8">
        <f>(I497 - MAX(I482:I497)) / MAX(I482:I497)</f>
        <v>-0.35320674970381993</v>
      </c>
      <c r="P497" s="15">
        <v>7.7000000000000002E-3</v>
      </c>
      <c r="Q497">
        <f t="shared" si="107"/>
        <v>1.2865543696201795</v>
      </c>
      <c r="R497">
        <f t="shared" si="108"/>
        <v>-1.3210193187072838E-2</v>
      </c>
      <c r="S497" s="15">
        <f t="shared" si="109"/>
        <v>8.9999495247731098E-2</v>
      </c>
    </row>
    <row r="498" spans="1:19" x14ac:dyDescent="0.3">
      <c r="A498" s="2">
        <v>42491</v>
      </c>
      <c r="B498">
        <v>2016</v>
      </c>
      <c r="C498">
        <v>5</v>
      </c>
      <c r="D498" s="5" t="s">
        <v>9</v>
      </c>
      <c r="E498" t="s">
        <v>40</v>
      </c>
      <c r="F498" t="s">
        <v>11</v>
      </c>
      <c r="G498" t="s">
        <v>16</v>
      </c>
      <c r="H498" t="s">
        <v>22</v>
      </c>
      <c r="I498">
        <v>3.9211999999999998</v>
      </c>
      <c r="J498" s="8">
        <f t="shared" si="104"/>
        <v>-2.9405940594059463E-2</v>
      </c>
      <c r="K498" s="8">
        <f t="shared" si="105"/>
        <v>-0.35835842387747097</v>
      </c>
      <c r="L498">
        <f t="shared" si="97"/>
        <v>-2.9516940594059463E-2</v>
      </c>
      <c r="M498">
        <f t="shared" si="106"/>
        <v>-0.33095576467973431</v>
      </c>
      <c r="N498" s="15">
        <v>1.11E-4</v>
      </c>
      <c r="O498" s="8">
        <f>(I498 - MAX(I482:I498)) / MAX(I482:I498)</f>
        <v>-0.37222631359866803</v>
      </c>
      <c r="P498" s="15">
        <v>1.1599999999999999E-2</v>
      </c>
      <c r="Q498">
        <f t="shared" si="107"/>
        <v>1.2666143579232472</v>
      </c>
      <c r="R498">
        <f t="shared" si="108"/>
        <v>-1.5118209279356228E-2</v>
      </c>
      <c r="S498" s="15">
        <f t="shared" si="109"/>
        <v>8.9944846317169466E-2</v>
      </c>
    </row>
    <row r="499" spans="1:19" x14ac:dyDescent="0.3">
      <c r="A499" s="2">
        <v>42522</v>
      </c>
      <c r="B499">
        <v>2016</v>
      </c>
      <c r="C499">
        <v>6</v>
      </c>
      <c r="D499" s="5" t="s">
        <v>9</v>
      </c>
      <c r="E499" t="s">
        <v>40</v>
      </c>
      <c r="F499" t="s">
        <v>11</v>
      </c>
      <c r="G499" t="s">
        <v>16</v>
      </c>
      <c r="H499" t="s">
        <v>22</v>
      </c>
      <c r="I499">
        <v>3.1335000000000002</v>
      </c>
      <c r="J499" s="8">
        <f t="shared" si="104"/>
        <v>-0.20088238294399666</v>
      </c>
      <c r="K499" s="8">
        <f t="shared" si="105"/>
        <v>-0.48725291268490645</v>
      </c>
      <c r="L499">
        <f t="shared" si="97"/>
        <v>-0.20086838294399667</v>
      </c>
      <c r="M499">
        <f t="shared" si="106"/>
        <v>-0.42470832680052567</v>
      </c>
      <c r="N499" s="15">
        <v>-1.4E-5</v>
      </c>
      <c r="O499" s="8">
        <f>(I499 - MAX(I482:I499)) / MAX(I482:I499)</f>
        <v>-0.49833498767250484</v>
      </c>
      <c r="P499" s="15">
        <v>-6.4899999999999999E-2</v>
      </c>
      <c r="Q499">
        <f t="shared" si="107"/>
        <v>1.4315144863100471</v>
      </c>
      <c r="R499">
        <f t="shared" si="108"/>
        <v>-2.4296905335852142E-2</v>
      </c>
      <c r="S499" s="15">
        <f t="shared" si="109"/>
        <v>0.10271580949602782</v>
      </c>
    </row>
    <row r="500" spans="1:19" x14ac:dyDescent="0.3">
      <c r="A500" s="2">
        <v>42552</v>
      </c>
      <c r="B500">
        <v>2016</v>
      </c>
      <c r="C500">
        <v>7</v>
      </c>
      <c r="D500" s="5" t="s">
        <v>9</v>
      </c>
      <c r="E500" t="s">
        <v>40</v>
      </c>
      <c r="F500" t="s">
        <v>11</v>
      </c>
      <c r="G500" t="s">
        <v>16</v>
      </c>
      <c r="H500" t="s">
        <v>22</v>
      </c>
      <c r="I500">
        <v>3.4670999999999998</v>
      </c>
      <c r="J500" s="8">
        <f t="shared" si="104"/>
        <v>0.10646242221158438</v>
      </c>
      <c r="K500" s="8">
        <f t="shared" si="105"/>
        <v>-0.43266461578740678</v>
      </c>
      <c r="L500">
        <f t="shared" si="97"/>
        <v>0.10659142221158438</v>
      </c>
      <c r="M500">
        <f t="shared" si="106"/>
        <v>-0.31504709762653893</v>
      </c>
      <c r="N500" s="15">
        <v>-1.2899999999999999E-4</v>
      </c>
      <c r="O500" s="8">
        <f>(I500 - MAX(I482:I500)) / MAX(I482:I500)</f>
        <v>-0.44492651532131539</v>
      </c>
      <c r="P500" s="15">
        <v>4.3999999999999997E-2</v>
      </c>
      <c r="Q500">
        <f t="shared" si="107"/>
        <v>1.618316798809833</v>
      </c>
      <c r="R500">
        <f t="shared" si="108"/>
        <v>-1.2194327639578839E-2</v>
      </c>
      <c r="S500" s="15">
        <f t="shared" si="109"/>
        <v>0.11096111208196974</v>
      </c>
    </row>
    <row r="501" spans="1:19" x14ac:dyDescent="0.3">
      <c r="A501" s="2">
        <v>42583</v>
      </c>
      <c r="B501">
        <v>2016</v>
      </c>
      <c r="C501">
        <v>8</v>
      </c>
      <c r="D501" s="5" t="s">
        <v>9</v>
      </c>
      <c r="E501" t="s">
        <v>40</v>
      </c>
      <c r="F501" t="s">
        <v>11</v>
      </c>
      <c r="G501" t="s">
        <v>16</v>
      </c>
      <c r="H501" t="s">
        <v>22</v>
      </c>
      <c r="I501">
        <v>3.6736</v>
      </c>
      <c r="J501" s="8">
        <f t="shared" si="104"/>
        <v>5.9559862709469051E-2</v>
      </c>
      <c r="K501" s="8">
        <f t="shared" si="105"/>
        <v>-0.3988741981934808</v>
      </c>
      <c r="L501">
        <f t="shared" si="97"/>
        <v>5.966986270946905E-2</v>
      </c>
      <c r="M501">
        <f t="shared" si="106"/>
        <v>-0.17360127200823783</v>
      </c>
      <c r="N501" s="15">
        <v>-1.1E-4</v>
      </c>
      <c r="O501" s="8">
        <f>(I501 - MAX(I482:I501)) / MAX(I482:I501)</f>
        <v>-0.41186641478018637</v>
      </c>
      <c r="P501" s="15">
        <v>1.0800000000000001E-2</v>
      </c>
      <c r="Q501">
        <f t="shared" si="107"/>
        <v>1.7311074096077963</v>
      </c>
      <c r="R501">
        <f t="shared" si="108"/>
        <v>-9.5708869762093762E-3</v>
      </c>
      <c r="S501" s="15">
        <f t="shared" si="109"/>
        <v>0.10954225356039973</v>
      </c>
    </row>
    <row r="502" spans="1:19" x14ac:dyDescent="0.3">
      <c r="A502" s="2">
        <v>42614</v>
      </c>
      <c r="B502">
        <v>2016</v>
      </c>
      <c r="C502">
        <v>9</v>
      </c>
      <c r="D502" s="5" t="s">
        <v>9</v>
      </c>
      <c r="E502" t="s">
        <v>40</v>
      </c>
      <c r="F502" t="s">
        <v>11</v>
      </c>
      <c r="G502" t="s">
        <v>16</v>
      </c>
      <c r="H502" t="s">
        <v>22</v>
      </c>
      <c r="I502">
        <v>3.6069</v>
      </c>
      <c r="J502" s="8">
        <f t="shared" si="104"/>
        <v>-1.815657665505226E-2</v>
      </c>
      <c r="K502" s="8">
        <f t="shared" si="105"/>
        <v>-0.4097885848933106</v>
      </c>
      <c r="L502">
        <f t="shared" si="97"/>
        <v>-1.8086576655052259E-2</v>
      </c>
      <c r="M502">
        <f t="shared" si="106"/>
        <v>-9.2083050249245582E-2</v>
      </c>
      <c r="N502" s="15">
        <v>-6.9999999999999994E-5</v>
      </c>
      <c r="O502" s="8">
        <f>(I502 - MAX(I482:I502)) / MAX(I482:I502)</f>
        <v>-0.42254490730364064</v>
      </c>
      <c r="P502" s="15">
        <v>-6.8999999999999999E-3</v>
      </c>
      <c r="Q502">
        <f t="shared" si="107"/>
        <v>1.6741125427304886</v>
      </c>
      <c r="R502">
        <f t="shared" si="108"/>
        <v>-6.7509206717468392E-3</v>
      </c>
      <c r="S502" s="15">
        <f t="shared" si="109"/>
        <v>0.10370961113868936</v>
      </c>
    </row>
    <row r="503" spans="1:19" x14ac:dyDescent="0.3">
      <c r="A503" s="2">
        <v>42644</v>
      </c>
      <c r="B503">
        <v>2016</v>
      </c>
      <c r="C503">
        <v>10</v>
      </c>
      <c r="D503" s="5" t="s">
        <v>9</v>
      </c>
      <c r="E503" t="s">
        <v>40</v>
      </c>
      <c r="F503" t="s">
        <v>11</v>
      </c>
      <c r="G503" t="s">
        <v>16</v>
      </c>
      <c r="H503" t="s">
        <v>22</v>
      </c>
      <c r="I503">
        <v>4.1330999999999998</v>
      </c>
      <c r="J503" s="8">
        <f t="shared" si="104"/>
        <v>0.14588704982117601</v>
      </c>
      <c r="K503" s="8">
        <f t="shared" si="105"/>
        <v>-0.32368438277261424</v>
      </c>
      <c r="L503">
        <f t="shared" si="97"/>
        <v>0.145885049821176</v>
      </c>
      <c r="M503">
        <f t="shared" si="106"/>
        <v>-3.9477316657448268E-2</v>
      </c>
      <c r="N503" s="15">
        <v>1.9999999999999999E-6</v>
      </c>
      <c r="O503" s="8">
        <f>(I503 - MAX(I482:I503)) / MAX(I482:I503)</f>
        <v>-0.33830168742595501</v>
      </c>
      <c r="P503" s="15">
        <v>1.77E-2</v>
      </c>
      <c r="Q503">
        <f t="shared" si="107"/>
        <v>2.3741411413772751</v>
      </c>
      <c r="R503">
        <f t="shared" si="108"/>
        <v>1.6294327236550235E-2</v>
      </c>
      <c r="S503" s="15">
        <f t="shared" si="109"/>
        <v>0.11012514122433714</v>
      </c>
    </row>
    <row r="504" spans="1:19" x14ac:dyDescent="0.3">
      <c r="A504" s="2">
        <v>42675</v>
      </c>
      <c r="B504">
        <v>2016</v>
      </c>
      <c r="C504">
        <v>11</v>
      </c>
      <c r="D504" s="5" t="s">
        <v>9</v>
      </c>
      <c r="E504" t="s">
        <v>40</v>
      </c>
      <c r="F504" t="s">
        <v>11</v>
      </c>
      <c r="G504" t="s">
        <v>16</v>
      </c>
      <c r="H504" t="s">
        <v>22</v>
      </c>
      <c r="I504">
        <v>3.9817</v>
      </c>
      <c r="J504" s="8">
        <f t="shared" si="104"/>
        <v>-3.6631100142749937E-2</v>
      </c>
      <c r="K504" s="8">
        <f t="shared" si="105"/>
        <v>-0.34845856787537632</v>
      </c>
      <c r="L504">
        <f t="shared" si="97"/>
        <v>-3.6789100142749935E-2</v>
      </c>
      <c r="M504">
        <f t="shared" si="106"/>
        <v>-7.6936530560580849E-2</v>
      </c>
      <c r="N504" s="15">
        <v>1.5799999999999999E-4</v>
      </c>
      <c r="O504" s="8">
        <f>(I504 - MAX(I482:I504)) / MAX(I482:I504)</f>
        <v>-0.36254042457814351</v>
      </c>
      <c r="P504" s="15">
        <v>-1.1999999999999999E-3</v>
      </c>
      <c r="Q504">
        <f t="shared" si="107"/>
        <v>2.4890912357129489</v>
      </c>
      <c r="R504">
        <f t="shared" si="108"/>
        <v>1.869567816232047E-2</v>
      </c>
      <c r="S504" s="15">
        <f t="shared" si="109"/>
        <v>0.11034490351293709</v>
      </c>
    </row>
    <row r="505" spans="1:19" x14ac:dyDescent="0.3">
      <c r="A505" s="2">
        <v>42705</v>
      </c>
      <c r="B505">
        <v>2016</v>
      </c>
      <c r="C505">
        <v>12</v>
      </c>
      <c r="D505" s="5" t="s">
        <v>9</v>
      </c>
      <c r="E505" t="s">
        <v>40</v>
      </c>
      <c r="F505" t="s">
        <v>11</v>
      </c>
      <c r="G505" t="s">
        <v>16</v>
      </c>
      <c r="H505" t="s">
        <v>22</v>
      </c>
      <c r="I505">
        <v>4.5781000000000001</v>
      </c>
      <c r="J505" s="8">
        <f t="shared" si="104"/>
        <v>0.14978526759926666</v>
      </c>
      <c r="K505" s="8">
        <f t="shared" si="105"/>
        <v>-0.2508672601125802</v>
      </c>
      <c r="L505">
        <f t="shared" si="97"/>
        <v>0.14957526759926668</v>
      </c>
      <c r="M505">
        <f t="shared" si="106"/>
        <v>0.12235262534104725</v>
      </c>
      <c r="N505" s="15">
        <v>2.1000000000000001E-4</v>
      </c>
      <c r="O505" s="8">
        <f>(I505 - MAX(I482:I505)) / MAX(I482:I505)</f>
        <v>-0.26705837148986583</v>
      </c>
      <c r="P505" s="15">
        <v>7.8299999999999995E-2</v>
      </c>
      <c r="Q505">
        <f t="shared" si="107"/>
        <v>2.2998269306853145</v>
      </c>
      <c r="R505">
        <f t="shared" si="108"/>
        <v>1.1975082698020468E-2</v>
      </c>
      <c r="S505" s="15">
        <f t="shared" si="109"/>
        <v>0.11319910967909066</v>
      </c>
    </row>
    <row r="506" spans="1:19" x14ac:dyDescent="0.3">
      <c r="A506" s="2">
        <v>42736</v>
      </c>
      <c r="B506">
        <v>2017</v>
      </c>
      <c r="C506">
        <v>1</v>
      </c>
      <c r="D506" s="5" t="s">
        <v>9</v>
      </c>
      <c r="E506" t="s">
        <v>40</v>
      </c>
      <c r="F506" t="s">
        <v>11</v>
      </c>
      <c r="G506" t="s">
        <v>16</v>
      </c>
      <c r="H506" t="s">
        <v>22</v>
      </c>
      <c r="I506">
        <v>4.7534999999999998</v>
      </c>
      <c r="J506" s="8">
        <f t="shared" si="104"/>
        <v>3.8312837203206523E-2</v>
      </c>
      <c r="K506" s="8">
        <f t="shared" si="105"/>
        <v>-0.22216585940568145</v>
      </c>
      <c r="L506">
        <f t="shared" si="97"/>
        <v>3.8103837203206523E-2</v>
      </c>
      <c r="M506">
        <f t="shared" si="106"/>
        <v>0.27662510208214941</v>
      </c>
      <c r="N506" s="15">
        <v>2.0900000000000001E-4</v>
      </c>
      <c r="O506" s="8">
        <f>(I506 - MAX(I482:I506)) / MAX(I482:I506)</f>
        <v>-0.23897729819730398</v>
      </c>
      <c r="P506" s="15">
        <v>-1.8200000000000001E-2</v>
      </c>
      <c r="Q506">
        <f t="shared" si="107"/>
        <v>2.3053289209470345</v>
      </c>
      <c r="R506">
        <f t="shared" si="108"/>
        <v>1.5836457439254333E-2</v>
      </c>
      <c r="S506" s="15">
        <f t="shared" si="109"/>
        <v>0.10283034243192682</v>
      </c>
    </row>
    <row r="507" spans="1:19" x14ac:dyDescent="0.3">
      <c r="A507" s="2">
        <v>42767</v>
      </c>
      <c r="B507">
        <v>2017</v>
      </c>
      <c r="C507">
        <v>2</v>
      </c>
      <c r="D507" s="5" t="s">
        <v>9</v>
      </c>
      <c r="E507" t="s">
        <v>40</v>
      </c>
      <c r="F507" t="s">
        <v>11</v>
      </c>
      <c r="G507" t="s">
        <v>16</v>
      </c>
      <c r="H507" t="s">
        <v>22</v>
      </c>
      <c r="I507">
        <v>4.7580999999999998</v>
      </c>
      <c r="J507" s="8">
        <f t="shared" si="104"/>
        <v>9.6770800462815556E-4</v>
      </c>
      <c r="K507" s="8">
        <f t="shared" si="105"/>
        <v>-0.22141314308155524</v>
      </c>
      <c r="L507">
        <f t="shared" si="97"/>
        <v>7.5270800462815554E-4</v>
      </c>
      <c r="M507">
        <f t="shared" si="106"/>
        <v>0.32184610444752848</v>
      </c>
      <c r="N507" s="15">
        <v>2.1499999999999999E-4</v>
      </c>
      <c r="O507" s="8">
        <f>(I507 - MAX(I482:I507)) / MAX(I482:I507)</f>
        <v>-0.23824085043706578</v>
      </c>
      <c r="P507" s="15">
        <v>2.75E-2</v>
      </c>
      <c r="Q507">
        <f t="shared" si="107"/>
        <v>2.2474807166770829</v>
      </c>
      <c r="R507">
        <f t="shared" si="108"/>
        <v>8.8386750952436817E-3</v>
      </c>
      <c r="S507" s="15">
        <f t="shared" si="109"/>
        <v>0.10058877650794874</v>
      </c>
    </row>
    <row r="508" spans="1:19" x14ac:dyDescent="0.3">
      <c r="A508" s="2">
        <v>42795</v>
      </c>
      <c r="B508">
        <v>2017</v>
      </c>
      <c r="C508">
        <v>3</v>
      </c>
      <c r="D508" s="5" t="s">
        <v>9</v>
      </c>
      <c r="E508" t="s">
        <v>40</v>
      </c>
      <c r="F508" t="s">
        <v>11</v>
      </c>
      <c r="G508" t="s">
        <v>16</v>
      </c>
      <c r="H508" t="s">
        <v>22</v>
      </c>
      <c r="I508">
        <v>5.3037000000000001</v>
      </c>
      <c r="J508" s="8">
        <f t="shared" si="104"/>
        <v>0.11466761942792299</v>
      </c>
      <c r="K508" s="8">
        <f t="shared" si="105"/>
        <v>-0.1321344416808482</v>
      </c>
      <c r="L508">
        <f t="shared" si="97"/>
        <v>0.11437761942792299</v>
      </c>
      <c r="M508">
        <f t="shared" si="106"/>
        <v>0.37958443083636551</v>
      </c>
      <c r="N508" s="15">
        <v>2.9E-4</v>
      </c>
      <c r="O508" s="8">
        <f>(I508 - MAX(I482:I508)) / MAX(I482:I508)</f>
        <v>-0.15089174217924498</v>
      </c>
      <c r="P508" s="15">
        <v>5.4600000000000003E-2</v>
      </c>
      <c r="Q508">
        <f t="shared" si="107"/>
        <v>2.2106807502067549</v>
      </c>
      <c r="R508">
        <f t="shared" si="108"/>
        <v>9.7514116841535617E-3</v>
      </c>
      <c r="S508" s="15">
        <f t="shared" si="109"/>
        <v>0.10335013611632793</v>
      </c>
    </row>
    <row r="509" spans="1:19" x14ac:dyDescent="0.3">
      <c r="A509" s="2">
        <v>42826</v>
      </c>
      <c r="B509">
        <v>2017</v>
      </c>
      <c r="C509">
        <v>4</v>
      </c>
      <c r="D509" s="5" t="s">
        <v>9</v>
      </c>
      <c r="E509" t="s">
        <v>40</v>
      </c>
      <c r="F509" t="s">
        <v>11</v>
      </c>
      <c r="G509" t="s">
        <v>16</v>
      </c>
      <c r="H509" t="s">
        <v>22</v>
      </c>
      <c r="I509">
        <v>5.5270999999999999</v>
      </c>
      <c r="J509" s="8">
        <f t="shared" si="104"/>
        <v>4.2121537794369932E-2</v>
      </c>
      <c r="K509" s="8">
        <f t="shared" si="105"/>
        <v>-9.5578609765676004E-2</v>
      </c>
      <c r="L509">
        <f t="shared" si="97"/>
        <v>4.1933537794369931E-2</v>
      </c>
      <c r="M509">
        <f t="shared" si="106"/>
        <v>0.31502319446698068</v>
      </c>
      <c r="N509" s="15">
        <v>1.8799999999999999E-4</v>
      </c>
      <c r="O509" s="8">
        <f>(I509 - MAX(I482:I509)) / MAX(I482:I509)</f>
        <v>-0.11512599660593642</v>
      </c>
      <c r="P509" s="15">
        <v>1.6799999999999999E-2</v>
      </c>
      <c r="Q509">
        <f t="shared" si="107"/>
        <v>2.259841155600661</v>
      </c>
      <c r="R509">
        <f t="shared" si="108"/>
        <v>-8.6460370891420016E-4</v>
      </c>
      <c r="S509" s="15">
        <f t="shared" si="109"/>
        <v>9.830712758165859E-2</v>
      </c>
    </row>
    <row r="510" spans="1:19" x14ac:dyDescent="0.3">
      <c r="A510" s="2">
        <v>42856</v>
      </c>
      <c r="B510">
        <v>2017</v>
      </c>
      <c r="C510">
        <v>5</v>
      </c>
      <c r="D510" s="5" t="s">
        <v>9</v>
      </c>
      <c r="E510" t="s">
        <v>40</v>
      </c>
      <c r="F510" t="s">
        <v>11</v>
      </c>
      <c r="G510" t="s">
        <v>16</v>
      </c>
      <c r="H510" t="s">
        <v>22</v>
      </c>
      <c r="I510">
        <v>5.3369999999999997</v>
      </c>
      <c r="J510" s="8">
        <f t="shared" si="104"/>
        <v>-3.439416692297953E-2</v>
      </c>
      <c r="K510" s="8">
        <f t="shared" si="105"/>
        <v>-0.12668543003010846</v>
      </c>
      <c r="L510">
        <f t="shared" si="97"/>
        <v>-3.4674166922979532E-2</v>
      </c>
      <c r="M510">
        <f t="shared" si="106"/>
        <v>0.30974084185564288</v>
      </c>
      <c r="N510" s="15">
        <v>2.7999999999999998E-4</v>
      </c>
      <c r="O510" s="8">
        <f>(I510 - MAX(I482:I510)) / MAX(I482:I510)</f>
        <v>-0.14556050078447699</v>
      </c>
      <c r="P510" s="15">
        <v>-1.4E-3</v>
      </c>
      <c r="Q510">
        <f t="shared" si="107"/>
        <v>2.2835508997320972</v>
      </c>
      <c r="R510">
        <f t="shared" si="108"/>
        <v>8.7764298455863046E-4</v>
      </c>
      <c r="S510" s="15">
        <f t="shared" si="109"/>
        <v>9.8596156470501337E-2</v>
      </c>
    </row>
    <row r="511" spans="1:19" x14ac:dyDescent="0.3">
      <c r="A511" s="2">
        <v>42887</v>
      </c>
      <c r="B511">
        <v>2017</v>
      </c>
      <c r="C511">
        <v>6</v>
      </c>
      <c r="D511" s="5" t="s">
        <v>9</v>
      </c>
      <c r="E511" t="s">
        <v>40</v>
      </c>
      <c r="F511" t="s">
        <v>11</v>
      </c>
      <c r="G511" t="s">
        <v>16</v>
      </c>
      <c r="H511" t="s">
        <v>22</v>
      </c>
      <c r="I511">
        <v>5.3471000000000002</v>
      </c>
      <c r="J511" s="8">
        <f t="shared" si="104"/>
        <v>1.8924489413529029E-3</v>
      </c>
      <c r="K511" s="8">
        <f t="shared" si="105"/>
        <v>-0.12503272679670074</v>
      </c>
      <c r="L511">
        <f t="shared" si="97"/>
        <v>1.6834489413529029E-3</v>
      </c>
      <c r="M511">
        <f t="shared" si="106"/>
        <v>0.6982531757457543</v>
      </c>
      <c r="N511" s="15">
        <v>2.0900000000000001E-4</v>
      </c>
      <c r="O511" s="8">
        <f>(I511 - MAX(I482:I511)) / MAX(I482:I511)</f>
        <v>-0.14394351765873648</v>
      </c>
      <c r="P511" s="15">
        <v>-3.1699999999999999E-2</v>
      </c>
      <c r="Q511">
        <f t="shared" si="107"/>
        <v>1.5659352938282973</v>
      </c>
      <c r="R511">
        <f t="shared" si="108"/>
        <v>2.2774930135275706E-2</v>
      </c>
      <c r="S511" s="15">
        <f t="shared" si="109"/>
        <v>6.7910290249719951E-2</v>
      </c>
    </row>
    <row r="512" spans="1:19" x14ac:dyDescent="0.3">
      <c r="A512" s="2">
        <v>42917</v>
      </c>
      <c r="B512">
        <v>2017</v>
      </c>
      <c r="C512">
        <v>7</v>
      </c>
      <c r="D512" s="5" t="s">
        <v>9</v>
      </c>
      <c r="E512" t="s">
        <v>40</v>
      </c>
      <c r="F512" t="s">
        <v>11</v>
      </c>
      <c r="G512" t="s">
        <v>16</v>
      </c>
      <c r="H512" t="s">
        <v>22</v>
      </c>
      <c r="I512">
        <v>5.4196</v>
      </c>
      <c r="J512" s="8">
        <f t="shared" si="104"/>
        <v>1.3558751472760895E-2</v>
      </c>
      <c r="K512" s="8">
        <f t="shared" si="105"/>
        <v>-0.11316926299253793</v>
      </c>
      <c r="L512">
        <f t="shared" si="97"/>
        <v>1.3178751472760895E-2</v>
      </c>
      <c r="M512">
        <f t="shared" si="106"/>
        <v>0.60191762587025099</v>
      </c>
      <c r="N512" s="15">
        <v>3.8000000000000002E-4</v>
      </c>
      <c r="O512" s="8">
        <f>(I512 - MAX(I482:I512)) / MAX(I482:I512)</f>
        <v>-0.13233646056802537</v>
      </c>
      <c r="P512" s="15">
        <v>2.2000000000000001E-3</v>
      </c>
      <c r="Q512">
        <f t="shared" si="107"/>
        <v>1.5322243624042136</v>
      </c>
      <c r="R512">
        <f t="shared" si="108"/>
        <v>2.0923301117585023E-2</v>
      </c>
      <c r="S512" s="15">
        <f t="shared" si="109"/>
        <v>6.5846529327239098E-2</v>
      </c>
    </row>
    <row r="513" spans="1:19" x14ac:dyDescent="0.3">
      <c r="A513" s="2">
        <v>42948</v>
      </c>
      <c r="B513">
        <v>2017</v>
      </c>
      <c r="C513">
        <v>8</v>
      </c>
      <c r="D513" s="5" t="s">
        <v>9</v>
      </c>
      <c r="E513" t="s">
        <v>40</v>
      </c>
      <c r="F513" t="s">
        <v>11</v>
      </c>
      <c r="G513" t="s">
        <v>16</v>
      </c>
      <c r="H513" t="s">
        <v>22</v>
      </c>
      <c r="I513">
        <v>5.1238999999999999</v>
      </c>
      <c r="J513" s="8">
        <f t="shared" si="104"/>
        <v>-5.4561222230422923E-2</v>
      </c>
      <c r="K513" s="8">
        <f t="shared" si="105"/>
        <v>-0.16155583191517187</v>
      </c>
      <c r="L513">
        <f t="shared" si="97"/>
        <v>-5.484922223042292E-2</v>
      </c>
      <c r="M513">
        <f t="shared" si="106"/>
        <v>0.42508205971082158</v>
      </c>
      <c r="N513" s="15">
        <v>2.8800000000000001E-4</v>
      </c>
      <c r="O513" s="8">
        <f>(I513 - MAX(I482:I513)) / MAX(I482:I513)</f>
        <v>-0.17967724376420866</v>
      </c>
      <c r="P513" s="15">
        <v>-8.1000000000000013E-3</v>
      </c>
      <c r="Q513">
        <f t="shared" si="107"/>
        <v>1.6453658626481638</v>
      </c>
      <c r="R513">
        <f t="shared" si="108"/>
        <v>1.2644429715355371E-2</v>
      </c>
      <c r="S513" s="15">
        <f t="shared" si="109"/>
        <v>7.0788519154616397E-2</v>
      </c>
    </row>
    <row r="514" spans="1:19" x14ac:dyDescent="0.3">
      <c r="A514" s="2">
        <v>42979</v>
      </c>
      <c r="B514">
        <v>2017</v>
      </c>
      <c r="C514">
        <v>9</v>
      </c>
      <c r="D514" s="5" t="s">
        <v>9</v>
      </c>
      <c r="E514" t="s">
        <v>40</v>
      </c>
      <c r="F514" t="s">
        <v>11</v>
      </c>
      <c r="G514" t="s">
        <v>16</v>
      </c>
      <c r="H514" t="s">
        <v>22</v>
      </c>
      <c r="I514">
        <v>5.5444000000000004</v>
      </c>
      <c r="J514" s="8">
        <f t="shared" si="104"/>
        <v>8.2066394738382981E-2</v>
      </c>
      <c r="K514" s="8">
        <f t="shared" si="105"/>
        <v>-9.2747741851027188E-2</v>
      </c>
      <c r="L514">
        <f t="shared" ref="L514:L577" si="110">J514-N514</f>
        <v>8.1777394738382983E-2</v>
      </c>
      <c r="M514">
        <f t="shared" si="106"/>
        <v>0.54513559994308991</v>
      </c>
      <c r="N514" s="15">
        <v>2.8899999999999998E-4</v>
      </c>
      <c r="O514" s="8">
        <f>(I514 - MAX(I482:I514)) / MAX(I482:I514)</f>
        <v>-0.11235631263808388</v>
      </c>
      <c r="P514" s="15">
        <v>5.0700000000000002E-2</v>
      </c>
      <c r="Q514">
        <f t="shared" si="107"/>
        <v>1.5653930804751091</v>
      </c>
      <c r="R514">
        <f t="shared" si="108"/>
        <v>1.4347356619558795E-2</v>
      </c>
      <c r="S514" s="15">
        <f t="shared" si="109"/>
        <v>7.0464902945713059E-2</v>
      </c>
    </row>
    <row r="515" spans="1:19" x14ac:dyDescent="0.3">
      <c r="A515" s="2">
        <v>43009</v>
      </c>
      <c r="B515">
        <v>2017</v>
      </c>
      <c r="C515">
        <v>10</v>
      </c>
      <c r="D515" s="5" t="s">
        <v>9</v>
      </c>
      <c r="E515" t="s">
        <v>40</v>
      </c>
      <c r="F515" t="s">
        <v>11</v>
      </c>
      <c r="G515" t="s">
        <v>16</v>
      </c>
      <c r="H515" t="s">
        <v>22</v>
      </c>
      <c r="I515">
        <v>5.4981999999999998</v>
      </c>
      <c r="J515" s="8">
        <f t="shared" ref="J515:J546" si="111">(I515-I514)/I514</f>
        <v>-8.3327321261093511E-3</v>
      </c>
      <c r="K515" s="8">
        <f t="shared" ref="K515:K546" si="112">(K514+1)*(J515+1)-1</f>
        <v>-0.10030763188899039</v>
      </c>
      <c r="L515">
        <f t="shared" si="110"/>
        <v>-8.6427321261093506E-3</v>
      </c>
      <c r="M515">
        <f t="shared" si="106"/>
        <v>0.40681293077919023</v>
      </c>
      <c r="N515" s="15">
        <v>3.1E-4</v>
      </c>
      <c r="O515" s="8">
        <f>(I515 - MAX(I482:I515)) / MAX(I482:I515)</f>
        <v>-0.11975280970830268</v>
      </c>
      <c r="P515" s="15">
        <v>1.8700000000000001E-2</v>
      </c>
      <c r="Q515">
        <f t="shared" si="107"/>
        <v>1.5336480393813603</v>
      </c>
      <c r="R515">
        <f t="shared" si="108"/>
        <v>1.86963347626877E-3</v>
      </c>
      <c r="S515" s="15">
        <f t="shared" si="109"/>
        <v>6.2769912281449361E-2</v>
      </c>
    </row>
    <row r="516" spans="1:19" x14ac:dyDescent="0.3">
      <c r="A516" s="2">
        <v>43040</v>
      </c>
      <c r="B516">
        <v>2017</v>
      </c>
      <c r="C516">
        <v>11</v>
      </c>
      <c r="D516" s="5" t="s">
        <v>9</v>
      </c>
      <c r="E516" t="s">
        <v>40</v>
      </c>
      <c r="F516" t="s">
        <v>11</v>
      </c>
      <c r="G516" t="s">
        <v>16</v>
      </c>
      <c r="H516" t="s">
        <v>22</v>
      </c>
      <c r="I516">
        <v>5.3281999999999998</v>
      </c>
      <c r="J516" s="8">
        <f t="shared" si="111"/>
        <v>-3.0919209923247596E-2</v>
      </c>
      <c r="K516" s="8">
        <f t="shared" si="112"/>
        <v>-0.1281254090849584</v>
      </c>
      <c r="L516">
        <f t="shared" si="110"/>
        <v>-3.1176209923247596E-2</v>
      </c>
      <c r="M516">
        <f t="shared" si="106"/>
        <v>0.41756861466658052</v>
      </c>
      <c r="N516" s="15">
        <v>2.5700000000000001E-4</v>
      </c>
      <c r="O516" s="8">
        <f>(I516 - MAX(I482:I516)) / MAX(I482:I516)</f>
        <v>-0.14696935736928055</v>
      </c>
      <c r="P516" s="15">
        <v>-2.52E-2</v>
      </c>
      <c r="Q516">
        <f t="shared" si="107"/>
        <v>1.4732882975876775</v>
      </c>
      <c r="R516">
        <f t="shared" si="108"/>
        <v>6.2275267870997054E-3</v>
      </c>
      <c r="S516" s="15">
        <f t="shared" si="109"/>
        <v>6.2273245445799166E-2</v>
      </c>
    </row>
    <row r="517" spans="1:19" x14ac:dyDescent="0.3">
      <c r="A517" s="2">
        <v>43070</v>
      </c>
      <c r="B517">
        <v>2017</v>
      </c>
      <c r="C517">
        <v>12</v>
      </c>
      <c r="D517" s="5" t="s">
        <v>9</v>
      </c>
      <c r="E517" t="s">
        <v>40</v>
      </c>
      <c r="F517" t="s">
        <v>11</v>
      </c>
      <c r="G517" t="s">
        <v>16</v>
      </c>
      <c r="H517" t="s">
        <v>22</v>
      </c>
      <c r="I517">
        <v>5.1734</v>
      </c>
      <c r="J517" s="8">
        <f t="shared" si="111"/>
        <v>-2.9052963477346917E-2</v>
      </c>
      <c r="K517" s="8">
        <f t="shared" si="112"/>
        <v>-0.1534559497316399</v>
      </c>
      <c r="L517">
        <f t="shared" si="110"/>
        <v>-2.9299963477346917E-2</v>
      </c>
      <c r="M517">
        <f t="shared" si="106"/>
        <v>0.22076214309615941</v>
      </c>
      <c r="N517" s="15">
        <v>2.4699999999999999E-4</v>
      </c>
      <c r="O517" s="8">
        <f>(I517 - MAX(I482:I517)) / MAX(I482:I517)</f>
        <v>-0.17175242547468861</v>
      </c>
      <c r="P517" s="15">
        <v>-1.8499999999999999E-2</v>
      </c>
      <c r="Q517">
        <f t="shared" si="107"/>
        <v>1.2645032986345401</v>
      </c>
      <c r="R517">
        <f t="shared" si="108"/>
        <v>4.3279866670693726E-3</v>
      </c>
      <c r="S517" s="15">
        <f t="shared" si="109"/>
        <v>5.0267149156892267E-2</v>
      </c>
    </row>
    <row r="518" spans="1:19" x14ac:dyDescent="0.3">
      <c r="A518" s="2">
        <v>43101</v>
      </c>
      <c r="B518">
        <v>2018</v>
      </c>
      <c r="C518">
        <v>1</v>
      </c>
      <c r="D518" s="5" t="s">
        <v>9</v>
      </c>
      <c r="E518" t="s">
        <v>40</v>
      </c>
      <c r="F518" t="s">
        <v>11</v>
      </c>
      <c r="G518" t="s">
        <v>16</v>
      </c>
      <c r="H518" t="s">
        <v>22</v>
      </c>
      <c r="I518">
        <v>5.6492000000000004</v>
      </c>
      <c r="J518" s="8">
        <f t="shared" si="111"/>
        <v>9.197046429814057E-2</v>
      </c>
      <c r="K518" s="8">
        <f t="shared" si="112"/>
        <v>-7.5598900379630463E-2</v>
      </c>
      <c r="L518">
        <f t="shared" si="110"/>
        <v>9.1575464298140563E-2</v>
      </c>
      <c r="M518">
        <f t="shared" si="106"/>
        <v>0.28256525525469428</v>
      </c>
      <c r="N518" s="15">
        <v>3.9500000000000001E-4</v>
      </c>
      <c r="O518" s="8">
        <f>(I518 - MAX(I482:I518)) / MAX(I482:I518)</f>
        <v>-9.5578111491786938E-2</v>
      </c>
      <c r="P518" s="15">
        <v>3.0099999999999998E-2</v>
      </c>
      <c r="Q518">
        <f t="shared" si="107"/>
        <v>1.5609955298527136</v>
      </c>
      <c r="R518">
        <f t="shared" si="108"/>
        <v>9.3797168561999926E-4</v>
      </c>
      <c r="S518" s="15">
        <f t="shared" si="109"/>
        <v>5.5042338753817074E-2</v>
      </c>
    </row>
    <row r="519" spans="1:19" x14ac:dyDescent="0.3">
      <c r="A519" s="2">
        <v>43132</v>
      </c>
      <c r="B519">
        <v>2018</v>
      </c>
      <c r="C519">
        <v>2</v>
      </c>
      <c r="D519" s="5" t="s">
        <v>9</v>
      </c>
      <c r="E519" t="s">
        <v>40</v>
      </c>
      <c r="F519" t="s">
        <v>11</v>
      </c>
      <c r="G519" t="s">
        <v>16</v>
      </c>
      <c r="H519" t="s">
        <v>22</v>
      </c>
      <c r="I519">
        <v>5.3509000000000002</v>
      </c>
      <c r="J519" s="8">
        <f t="shared" si="111"/>
        <v>-5.2803936840614636E-2</v>
      </c>
      <c r="K519" s="8">
        <f t="shared" si="112"/>
        <v>-0.12441091765937917</v>
      </c>
      <c r="L519">
        <f t="shared" si="110"/>
        <v>-5.3352936840614637E-2</v>
      </c>
      <c r="M519">
        <f t="shared" si="106"/>
        <v>0.18896509015740071</v>
      </c>
      <c r="N519" s="15">
        <v>5.4900000000000001E-4</v>
      </c>
      <c r="O519" s="8">
        <f>(I519 - MAX(I482:I519)) / MAX(I482:I519)</f>
        <v>-0.14333514776984402</v>
      </c>
      <c r="P519" s="15">
        <v>-4.7199999999999999E-2</v>
      </c>
      <c r="Q519">
        <f t="shared" si="107"/>
        <v>1.5620886403790244</v>
      </c>
      <c r="R519">
        <f t="shared" si="108"/>
        <v>6.1864134392120729E-3</v>
      </c>
      <c r="S519" s="15">
        <f t="shared" si="109"/>
        <v>5.8445974086984383E-2</v>
      </c>
    </row>
    <row r="520" spans="1:19" x14ac:dyDescent="0.3">
      <c r="A520" s="2">
        <v>43160</v>
      </c>
      <c r="B520">
        <v>2018</v>
      </c>
      <c r="C520">
        <v>3</v>
      </c>
      <c r="D520" s="5" t="s">
        <v>9</v>
      </c>
      <c r="E520" t="s">
        <v>40</v>
      </c>
      <c r="F520" t="s">
        <v>11</v>
      </c>
      <c r="G520" t="s">
        <v>16</v>
      </c>
      <c r="H520" t="s">
        <v>22</v>
      </c>
      <c r="I520">
        <v>4.9996</v>
      </c>
      <c r="J520" s="8">
        <f t="shared" si="111"/>
        <v>-6.5652507054887996E-2</v>
      </c>
      <c r="K520" s="8">
        <f t="shared" si="112"/>
        <v>-0.1818955360649297</v>
      </c>
      <c r="L520">
        <f t="shared" si="110"/>
        <v>-6.6093507054887993E-2</v>
      </c>
      <c r="M520">
        <f t="shared" si="106"/>
        <v>-7.6344990918041408E-2</v>
      </c>
      <c r="N520" s="15">
        <v>4.4099999999999999E-4</v>
      </c>
      <c r="O520" s="8">
        <f>(I520 - MAX(I482:I520)) / MAX(I482:I520)</f>
        <v>-0.19957734302455893</v>
      </c>
      <c r="P520" s="15">
        <v>-2.2499999999999999E-2</v>
      </c>
      <c r="Q520">
        <f t="shared" si="107"/>
        <v>1.4899359150156422</v>
      </c>
      <c r="R520">
        <f t="shared" si="108"/>
        <v>9.6312246364316451E-4</v>
      </c>
      <c r="S520" s="15">
        <f t="shared" si="109"/>
        <v>5.2328407266940422E-2</v>
      </c>
    </row>
    <row r="521" spans="1:19" x14ac:dyDescent="0.3">
      <c r="A521" s="2">
        <v>43191</v>
      </c>
      <c r="B521">
        <v>2018</v>
      </c>
      <c r="C521">
        <v>4</v>
      </c>
      <c r="D521" s="5" t="s">
        <v>9</v>
      </c>
      <c r="E521" t="s">
        <v>40</v>
      </c>
      <c r="F521" t="s">
        <v>11</v>
      </c>
      <c r="G521" t="s">
        <v>16</v>
      </c>
      <c r="H521" t="s">
        <v>22</v>
      </c>
      <c r="I521">
        <v>5.0732999999999997</v>
      </c>
      <c r="J521" s="8">
        <f t="shared" si="111"/>
        <v>1.4741179294343478E-2</v>
      </c>
      <c r="K521" s="8">
        <f t="shared" si="112"/>
        <v>-0.16983571148056009</v>
      </c>
      <c r="L521">
        <f t="shared" si="110"/>
        <v>1.4341179294343479E-2</v>
      </c>
      <c r="M521">
        <f t="shared" si="106"/>
        <v>-0.12409495321140335</v>
      </c>
      <c r="N521" s="15">
        <v>4.0000000000000002E-4</v>
      </c>
      <c r="O521" s="8">
        <f>(I521 - MAX(I482:I521)) / MAX(I482:I521)</f>
        <v>-0.18777816912682915</v>
      </c>
      <c r="P521" s="15">
        <v>5.21E-2</v>
      </c>
      <c r="Q521">
        <f t="shared" si="107"/>
        <v>1.1724200242556937</v>
      </c>
      <c r="R521">
        <f t="shared" si="108"/>
        <v>-5.8210104010924402E-3</v>
      </c>
      <c r="S521" s="15">
        <f t="shared" si="109"/>
        <v>5.0722247948011417E-2</v>
      </c>
    </row>
    <row r="522" spans="1:19" x14ac:dyDescent="0.3">
      <c r="A522" s="2">
        <v>43221</v>
      </c>
      <c r="B522">
        <v>2018</v>
      </c>
      <c r="C522">
        <v>5</v>
      </c>
      <c r="D522" s="5" t="s">
        <v>9</v>
      </c>
      <c r="E522" t="s">
        <v>40</v>
      </c>
      <c r="F522" t="s">
        <v>11</v>
      </c>
      <c r="G522" t="s">
        <v>16</v>
      </c>
      <c r="H522" t="s">
        <v>22</v>
      </c>
      <c r="I522">
        <v>4.3433999999999999</v>
      </c>
      <c r="J522" s="8">
        <f t="shared" si="111"/>
        <v>-0.14387085329075747</v>
      </c>
      <c r="K522" s="8">
        <f t="shared" si="112"/>
        <v>-0.28927215604136647</v>
      </c>
      <c r="L522">
        <f t="shared" si="110"/>
        <v>-0.14424585329075745</v>
      </c>
      <c r="M522">
        <f t="shared" si="106"/>
        <v>-0.23980811530920909</v>
      </c>
      <c r="N522" s="15">
        <v>3.7500000000000001E-4</v>
      </c>
      <c r="O522" s="8">
        <f>(I522 - MAX(I482:I522)) / MAX(I482:I522)</f>
        <v>-0.30463321699593354</v>
      </c>
      <c r="P522" s="15">
        <v>-3.6700000000000003E-2</v>
      </c>
      <c r="Q522">
        <f t="shared" si="107"/>
        <v>1.4304826520416378</v>
      </c>
      <c r="R522">
        <f t="shared" si="108"/>
        <v>-1.0628463690020878E-2</v>
      </c>
      <c r="S522" s="15">
        <f t="shared" si="109"/>
        <v>6.4323714941747046E-2</v>
      </c>
    </row>
    <row r="523" spans="1:19" x14ac:dyDescent="0.3">
      <c r="A523" s="2">
        <v>43252</v>
      </c>
      <c r="B523">
        <v>2018</v>
      </c>
      <c r="C523">
        <v>6</v>
      </c>
      <c r="D523" s="5" t="s">
        <v>9</v>
      </c>
      <c r="E523" t="s">
        <v>40</v>
      </c>
      <c r="F523" t="s">
        <v>11</v>
      </c>
      <c r="G523" t="s">
        <v>16</v>
      </c>
      <c r="H523" t="s">
        <v>22</v>
      </c>
      <c r="I523">
        <v>4.3357999999999999</v>
      </c>
      <c r="J523" s="8">
        <f t="shared" si="111"/>
        <v>-1.7497812773403442E-3</v>
      </c>
      <c r="K523" s="8">
        <f t="shared" si="112"/>
        <v>-0.29051577431600983</v>
      </c>
      <c r="L523">
        <f t="shared" si="110"/>
        <v>-2.0227812773403442E-3</v>
      </c>
      <c r="M523">
        <f t="shared" si="106"/>
        <v>-0.24490976880073248</v>
      </c>
      <c r="N523" s="15">
        <v>2.7300000000000002E-4</v>
      </c>
      <c r="O523" s="8">
        <f>(I523 - MAX(I482:I523)) / MAX(I482:I523)</f>
        <v>-0.30584995677371846</v>
      </c>
      <c r="P523" s="15">
        <v>-3.2000000000000002E-3</v>
      </c>
      <c r="Q523">
        <f t="shared" si="107"/>
        <v>1.5818723592457515</v>
      </c>
      <c r="R523">
        <f t="shared" si="108"/>
        <v>-1.4178166257380205E-2</v>
      </c>
      <c r="S523" s="15">
        <f t="shared" si="109"/>
        <v>6.4244890863841081E-2</v>
      </c>
    </row>
    <row r="524" spans="1:19" x14ac:dyDescent="0.3">
      <c r="A524" s="2">
        <v>43282</v>
      </c>
      <c r="B524">
        <v>2018</v>
      </c>
      <c r="C524">
        <v>7</v>
      </c>
      <c r="D524" s="5" t="s">
        <v>9</v>
      </c>
      <c r="E524" t="s">
        <v>40</v>
      </c>
      <c r="F524" t="s">
        <v>11</v>
      </c>
      <c r="G524" t="s">
        <v>16</v>
      </c>
      <c r="H524" t="s">
        <v>22</v>
      </c>
      <c r="I524">
        <v>4.5506000000000002</v>
      </c>
      <c r="J524" s="8">
        <f t="shared" si="111"/>
        <v>4.9541030490336348E-2</v>
      </c>
      <c r="K524" s="8">
        <f t="shared" si="112"/>
        <v>-0.25536719465898661</v>
      </c>
      <c r="L524">
        <f t="shared" si="110"/>
        <v>4.9312030490336348E-2</v>
      </c>
      <c r="M524">
        <f t="shared" si="106"/>
        <v>-0.19127285830619561</v>
      </c>
      <c r="N524" s="15">
        <v>2.2900000000000001E-4</v>
      </c>
      <c r="O524" s="8">
        <f>(I524 - MAX(I482:I524)) / MAX(I482:I524)</f>
        <v>-0.27146104831737694</v>
      </c>
      <c r="P524" s="15">
        <v>3.8300000000000001E-2</v>
      </c>
      <c r="Q524">
        <f t="shared" si="107"/>
        <v>1.5913702250509982</v>
      </c>
      <c r="R524">
        <f t="shared" si="108"/>
        <v>-1.59651137742788E-2</v>
      </c>
      <c r="S524" s="15">
        <f t="shared" si="109"/>
        <v>6.6518035522458302E-2</v>
      </c>
    </row>
    <row r="525" spans="1:19" x14ac:dyDescent="0.3">
      <c r="A525" s="2">
        <v>43313</v>
      </c>
      <c r="B525">
        <v>2018</v>
      </c>
      <c r="C525">
        <v>8</v>
      </c>
      <c r="D525" s="5" t="s">
        <v>9</v>
      </c>
      <c r="E525" t="s">
        <v>40</v>
      </c>
      <c r="F525" t="s">
        <v>11</v>
      </c>
      <c r="G525" t="s">
        <v>16</v>
      </c>
      <c r="H525" t="s">
        <v>22</v>
      </c>
      <c r="I525">
        <v>4.0488</v>
      </c>
      <c r="J525" s="8">
        <f t="shared" si="111"/>
        <v>-0.11027117303212768</v>
      </c>
      <c r="K525" s="8">
        <f t="shared" si="112"/>
        <v>-0.33747872758214414</v>
      </c>
      <c r="L525">
        <f t="shared" si="110"/>
        <v>-0.11051317303212768</v>
      </c>
      <c r="M525">
        <f t="shared" ref="M525:M556" si="113">(AVERAGE(J514:J525)-AVERAGE(N514:N525))/STDEV(J514:J525)</f>
        <v>-0.2428637045290174</v>
      </c>
      <c r="N525" s="15">
        <v>2.42E-4</v>
      </c>
      <c r="O525" s="8">
        <f>(I525 - MAX(I482:I525)) / MAX(I482:I525)</f>
        <v>-0.35179789311901638</v>
      </c>
      <c r="P525" s="15">
        <v>-3.7599999999999988E-2</v>
      </c>
      <c r="Q525">
        <f t="shared" ref="Q525:Q556" si="114" xml:space="preserve"> _xlfn.COVARIANCE.P(J514:J525, P514:P525) / _xlfn.VAR.P(P514:P525)</f>
        <v>1.6659923879179208</v>
      </c>
      <c r="R525">
        <f t="shared" ref="R525:R556" si="115">AVERAGE(J514:J525)-(AVERAGE(N514:N525)+Q525*(AVERAGE(P514:P525)-AVERAGE(N514:N525)))</f>
        <v>-1.6666622026243631E-2</v>
      </c>
      <c r="S525" s="15">
        <f t="shared" ref="S525:S556" si="116">STDEV(J514:J525)</f>
        <v>7.1487657588736139E-2</v>
      </c>
    </row>
    <row r="526" spans="1:19" x14ac:dyDescent="0.3">
      <c r="A526" s="2">
        <v>43344</v>
      </c>
      <c r="B526">
        <v>2018</v>
      </c>
      <c r="C526">
        <v>9</v>
      </c>
      <c r="D526" s="5" t="s">
        <v>9</v>
      </c>
      <c r="E526" t="s">
        <v>40</v>
      </c>
      <c r="F526" t="s">
        <v>11</v>
      </c>
      <c r="G526" t="s">
        <v>16</v>
      </c>
      <c r="H526" t="s">
        <v>22</v>
      </c>
      <c r="I526">
        <v>4.0936000000000003</v>
      </c>
      <c r="J526" s="8">
        <f t="shared" si="111"/>
        <v>1.106500691562942E-2</v>
      </c>
      <c r="K526" s="8">
        <f t="shared" si="112"/>
        <v>-0.33014792512108893</v>
      </c>
      <c r="L526">
        <f t="shared" si="110"/>
        <v>1.075600691562942E-2</v>
      </c>
      <c r="M526">
        <f t="shared" si="113"/>
        <v>-0.35704563638716658</v>
      </c>
      <c r="N526" s="15">
        <v>3.0899999999999998E-4</v>
      </c>
      <c r="O526" s="8">
        <f>(I526 - MAX(I482:I526)) / MAX(I482:I526)</f>
        <v>-0.34462553232365273</v>
      </c>
      <c r="P526" s="15">
        <v>1.9E-3</v>
      </c>
      <c r="Q526">
        <f t="shared" si="114"/>
        <v>1.6109589999791887</v>
      </c>
      <c r="R526">
        <f t="shared" si="115"/>
        <v>-1.6054115494341874E-2</v>
      </c>
      <c r="S526" s="15">
        <f t="shared" si="116"/>
        <v>6.5202326993537854E-2</v>
      </c>
    </row>
    <row r="527" spans="1:19" x14ac:dyDescent="0.3">
      <c r="A527" s="2">
        <v>43374</v>
      </c>
      <c r="B527">
        <v>2018</v>
      </c>
      <c r="C527">
        <v>10</v>
      </c>
      <c r="D527" s="5" t="s">
        <v>9</v>
      </c>
      <c r="E527" t="s">
        <v>40</v>
      </c>
      <c r="F527" t="s">
        <v>11</v>
      </c>
      <c r="G527" t="s">
        <v>16</v>
      </c>
      <c r="H527" t="s">
        <v>22</v>
      </c>
      <c r="I527">
        <v>3.9855999999999998</v>
      </c>
      <c r="J527" s="8">
        <f t="shared" si="111"/>
        <v>-2.638264608168862E-2</v>
      </c>
      <c r="K527" s="8">
        <f t="shared" si="112"/>
        <v>-0.34782039533970399</v>
      </c>
      <c r="L527">
        <f t="shared" si="110"/>
        <v>-2.671564608168862E-2</v>
      </c>
      <c r="M527">
        <f t="shared" si="113"/>
        <v>-0.3810776598193627</v>
      </c>
      <c r="N527" s="15">
        <v>3.3300000000000002E-4</v>
      </c>
      <c r="O527" s="8">
        <f>(I527 - MAX(I482:I527)) / MAX(I482:I527)</f>
        <v>-0.36191604495533286</v>
      </c>
      <c r="P527" s="15">
        <v>-5.9299999999999999E-2</v>
      </c>
      <c r="Q527">
        <f t="shared" si="114"/>
        <v>1.3557625113369631</v>
      </c>
      <c r="R527">
        <f t="shared" si="115"/>
        <v>-9.8898419049819105E-3</v>
      </c>
      <c r="S527" s="15">
        <f t="shared" si="116"/>
        <v>6.5042601841435455E-2</v>
      </c>
    </row>
    <row r="528" spans="1:19" x14ac:dyDescent="0.3">
      <c r="A528" s="2">
        <v>43405</v>
      </c>
      <c r="B528">
        <v>2018</v>
      </c>
      <c r="C528">
        <v>11</v>
      </c>
      <c r="D528" s="5" t="s">
        <v>9</v>
      </c>
      <c r="E528" t="s">
        <v>40</v>
      </c>
      <c r="F528" t="s">
        <v>11</v>
      </c>
      <c r="G528" t="s">
        <v>16</v>
      </c>
      <c r="H528" t="s">
        <v>22</v>
      </c>
      <c r="I528">
        <v>3.9761000000000002</v>
      </c>
      <c r="J528" s="8">
        <f t="shared" si="111"/>
        <v>-2.3835808912082549E-3</v>
      </c>
      <c r="K528" s="8">
        <f t="shared" si="112"/>
        <v>-0.34937491818300803</v>
      </c>
      <c r="L528">
        <f t="shared" si="110"/>
        <v>-2.645580891208255E-3</v>
      </c>
      <c r="M528">
        <f t="shared" si="113"/>
        <v>-0.34313622277165612</v>
      </c>
      <c r="N528" s="15">
        <v>2.6200000000000003E-4</v>
      </c>
      <c r="O528" s="8">
        <f>(I528 - MAX(I482:I528)) / MAX(I482:I528)</f>
        <v>-0.36343696967756395</v>
      </c>
      <c r="P528" s="15">
        <v>-7.6E-3</v>
      </c>
      <c r="Q528">
        <f t="shared" si="114"/>
        <v>1.3735919853752947</v>
      </c>
      <c r="R528">
        <f t="shared" si="115"/>
        <v>-9.3304173882056557E-3</v>
      </c>
      <c r="S528" s="15">
        <f t="shared" si="116"/>
        <v>6.530563837870397E-2</v>
      </c>
    </row>
    <row r="529" spans="1:19" x14ac:dyDescent="0.3">
      <c r="A529" s="2">
        <v>43435</v>
      </c>
      <c r="B529">
        <v>2018</v>
      </c>
      <c r="C529">
        <v>12</v>
      </c>
      <c r="D529" s="5" t="s">
        <v>9</v>
      </c>
      <c r="E529" t="s">
        <v>40</v>
      </c>
      <c r="F529" t="s">
        <v>11</v>
      </c>
      <c r="G529" t="s">
        <v>16</v>
      </c>
      <c r="H529" t="s">
        <v>22</v>
      </c>
      <c r="I529">
        <v>3.7747000000000002</v>
      </c>
      <c r="J529" s="8">
        <f t="shared" si="111"/>
        <v>-5.065264958124796E-2</v>
      </c>
      <c r="K529" s="8">
        <f t="shared" si="112"/>
        <v>-0.38233080246105489</v>
      </c>
      <c r="L529">
        <f t="shared" si="110"/>
        <v>-5.0808649581247964E-2</v>
      </c>
      <c r="M529">
        <f t="shared" si="113"/>
        <v>-0.36773509788105185</v>
      </c>
      <c r="N529" s="15">
        <v>1.56E-4</v>
      </c>
      <c r="O529" s="8">
        <f>(I529 - MAX(I482:I529)) / MAX(I482:I529)</f>
        <v>-0.39568057378886362</v>
      </c>
      <c r="P529" s="15">
        <v>-5.8799999999999998E-2</v>
      </c>
      <c r="Q529">
        <f t="shared" si="114"/>
        <v>1.2594978191083945</v>
      </c>
      <c r="R529">
        <f t="shared" si="115"/>
        <v>-7.9888646600553455E-3</v>
      </c>
      <c r="S529" s="15">
        <f t="shared" si="116"/>
        <v>6.5811288416768768E-2</v>
      </c>
    </row>
    <row r="530" spans="1:19" x14ac:dyDescent="0.3">
      <c r="A530" s="2">
        <v>43466</v>
      </c>
      <c r="B530">
        <v>2019</v>
      </c>
      <c r="C530">
        <v>1</v>
      </c>
      <c r="D530" s="5" t="s">
        <v>9</v>
      </c>
      <c r="E530" t="s">
        <v>40</v>
      </c>
      <c r="F530" t="s">
        <v>11</v>
      </c>
      <c r="G530" t="s">
        <v>16</v>
      </c>
      <c r="H530" t="s">
        <v>22</v>
      </c>
      <c r="I530">
        <v>3.9258000000000002</v>
      </c>
      <c r="J530" s="8">
        <f t="shared" si="111"/>
        <v>4.0029671232150899E-2</v>
      </c>
      <c r="K530" s="8">
        <f t="shared" si="112"/>
        <v>-0.35760570755334453</v>
      </c>
      <c r="L530">
        <f t="shared" si="110"/>
        <v>3.9918671232150899E-2</v>
      </c>
      <c r="M530">
        <f t="shared" si="113"/>
        <v>-0.48447636574814928</v>
      </c>
      <c r="N530" s="15">
        <v>1.11E-4</v>
      </c>
      <c r="O530" s="8">
        <f>(I530 - MAX(I482:I530)) / MAX(I482:I530)</f>
        <v>-0.37148986583842974</v>
      </c>
      <c r="P530" s="15">
        <v>5.79E-2</v>
      </c>
      <c r="Q530">
        <f t="shared" si="114"/>
        <v>1.0365113230239538</v>
      </c>
      <c r="R530">
        <f t="shared" si="115"/>
        <v>-1.7589661592803802E-2</v>
      </c>
      <c r="S530" s="15">
        <f t="shared" si="116"/>
        <v>5.8838480797918334E-2</v>
      </c>
    </row>
    <row r="531" spans="1:19" x14ac:dyDescent="0.3">
      <c r="A531" s="2">
        <v>43497</v>
      </c>
      <c r="B531">
        <v>2019</v>
      </c>
      <c r="C531">
        <v>2</v>
      </c>
      <c r="D531" s="5" t="s">
        <v>9</v>
      </c>
      <c r="E531" t="s">
        <v>40</v>
      </c>
      <c r="F531" t="s">
        <v>11</v>
      </c>
      <c r="G531" t="s">
        <v>16</v>
      </c>
      <c r="H531" t="s">
        <v>22</v>
      </c>
      <c r="I531">
        <v>4.0815999999999999</v>
      </c>
      <c r="J531" s="8">
        <f t="shared" si="111"/>
        <v>3.9686178613276203E-2</v>
      </c>
      <c r="K531" s="8">
        <f t="shared" si="112"/>
        <v>-0.33211153292315732</v>
      </c>
      <c r="L531">
        <f t="shared" si="110"/>
        <v>3.9640178613276206E-2</v>
      </c>
      <c r="M531">
        <f t="shared" si="113"/>
        <v>-0.33845174260331218</v>
      </c>
      <c r="N531" s="15">
        <v>4.6E-5</v>
      </c>
      <c r="O531" s="8">
        <f>(I531 - MAX(I482:I531)) / MAX(I482:I531)</f>
        <v>-0.34654670039383945</v>
      </c>
      <c r="P531" s="15">
        <v>4.3899999999999988E-2</v>
      </c>
      <c r="Q531">
        <f t="shared" si="114"/>
        <v>1.0954150850781506</v>
      </c>
      <c r="R531">
        <f t="shared" si="115"/>
        <v>-1.7581822854146594E-2</v>
      </c>
      <c r="S531" s="15">
        <f t="shared" si="116"/>
        <v>6.132758217061806E-2</v>
      </c>
    </row>
    <row r="532" spans="1:19" x14ac:dyDescent="0.3">
      <c r="A532" s="2">
        <v>43525</v>
      </c>
      <c r="B532">
        <v>2019</v>
      </c>
      <c r="C532">
        <v>3</v>
      </c>
      <c r="D532" s="5" t="s">
        <v>9</v>
      </c>
      <c r="E532" t="s">
        <v>40</v>
      </c>
      <c r="F532" t="s">
        <v>11</v>
      </c>
      <c r="G532" t="s">
        <v>16</v>
      </c>
      <c r="H532" t="s">
        <v>22</v>
      </c>
      <c r="I532">
        <v>3.9377</v>
      </c>
      <c r="J532" s="8">
        <f t="shared" si="111"/>
        <v>-3.5255782046256352E-2</v>
      </c>
      <c r="K532" s="8">
        <f t="shared" si="112"/>
        <v>-0.35565846314962679</v>
      </c>
      <c r="L532">
        <f t="shared" si="110"/>
        <v>-3.5264782046256354E-2</v>
      </c>
      <c r="M532">
        <f t="shared" si="113"/>
        <v>-0.30360895171890168</v>
      </c>
      <c r="N532" s="15">
        <v>9.0000000000000002E-6</v>
      </c>
      <c r="O532" s="8">
        <f>(I532 - MAX(I482:I532)) / MAX(I482:I532)</f>
        <v>-0.36958470750216132</v>
      </c>
      <c r="P532" s="15">
        <v>1.6199999999999999E-2</v>
      </c>
      <c r="Q532">
        <f t="shared" si="114"/>
        <v>1.039448852259621</v>
      </c>
      <c r="R532">
        <f t="shared" si="115"/>
        <v>-1.8564599950540078E-2</v>
      </c>
      <c r="S532" s="15">
        <f t="shared" si="116"/>
        <v>5.9903920931641097E-2</v>
      </c>
    </row>
    <row r="533" spans="1:19" x14ac:dyDescent="0.3">
      <c r="A533" s="2">
        <v>43556</v>
      </c>
      <c r="B533">
        <v>2019</v>
      </c>
      <c r="C533">
        <v>4</v>
      </c>
      <c r="D533" s="5" t="s">
        <v>9</v>
      </c>
      <c r="E533" t="s">
        <v>40</v>
      </c>
      <c r="F533" t="s">
        <v>11</v>
      </c>
      <c r="G533" t="s">
        <v>16</v>
      </c>
      <c r="H533" t="s">
        <v>22</v>
      </c>
      <c r="I533">
        <v>4.2862999999999998</v>
      </c>
      <c r="J533" s="8">
        <f t="shared" si="111"/>
        <v>8.8528836630520302E-2</v>
      </c>
      <c r="K533" s="8">
        <f t="shared" si="112"/>
        <v>-0.29861565649954169</v>
      </c>
      <c r="L533">
        <f t="shared" si="110"/>
        <v>8.8561836630520308E-2</v>
      </c>
      <c r="M533">
        <f t="shared" si="113"/>
        <v>-0.17930089490001416</v>
      </c>
      <c r="N533" s="15">
        <v>-3.3000000000000003E-5</v>
      </c>
      <c r="O533" s="8">
        <f>(I533 - MAX(I482:I533)) / MAX(I482:I533)</f>
        <v>-0.31377477506323848</v>
      </c>
      <c r="P533" s="15">
        <v>4.8599999999999997E-2</v>
      </c>
      <c r="Q533">
        <f t="shared" si="114"/>
        <v>1.2382703159902044</v>
      </c>
      <c r="R533">
        <f t="shared" si="115"/>
        <v>-1.2135219540475741E-2</v>
      </c>
      <c r="S533" s="15">
        <f t="shared" si="116"/>
        <v>6.6939497801089029E-2</v>
      </c>
    </row>
    <row r="534" spans="1:19" x14ac:dyDescent="0.3">
      <c r="A534" s="2">
        <v>43586</v>
      </c>
      <c r="B534">
        <v>2019</v>
      </c>
      <c r="C534">
        <v>5</v>
      </c>
      <c r="D534" s="5" t="s">
        <v>9</v>
      </c>
      <c r="E534" t="s">
        <v>40</v>
      </c>
      <c r="F534" t="s">
        <v>11</v>
      </c>
      <c r="G534" t="s">
        <v>16</v>
      </c>
      <c r="H534" t="s">
        <v>22</v>
      </c>
      <c r="I534">
        <v>3.7547999999999999</v>
      </c>
      <c r="J534" s="8">
        <f t="shared" si="111"/>
        <v>-0.12399972003826142</v>
      </c>
      <c r="K534" s="8">
        <f t="shared" si="112"/>
        <v>-0.38558711873281826</v>
      </c>
      <c r="L534">
        <f t="shared" si="110"/>
        <v>-0.12388772003826141</v>
      </c>
      <c r="M534">
        <f t="shared" si="113"/>
        <v>-0.16220713248075458</v>
      </c>
      <c r="N534" s="15">
        <v>-1.12E-4</v>
      </c>
      <c r="O534" s="8">
        <f>(I534 - MAX(I482:I534)) / MAX(I482:I534)</f>
        <v>-0.39886651083858987</v>
      </c>
      <c r="P534" s="15">
        <v>-6.6600000000000006E-2</v>
      </c>
      <c r="Q534">
        <f t="shared" si="114"/>
        <v>1.1893779838221918</v>
      </c>
      <c r="R534">
        <f t="shared" si="115"/>
        <v>-7.5181961059348585E-3</v>
      </c>
      <c r="S534" s="15">
        <f t="shared" si="116"/>
        <v>6.3534818709287497E-2</v>
      </c>
    </row>
    <row r="535" spans="1:19" x14ac:dyDescent="0.3">
      <c r="A535" s="2">
        <v>43617</v>
      </c>
      <c r="B535">
        <v>2019</v>
      </c>
      <c r="C535">
        <v>6</v>
      </c>
      <c r="D535" s="5" t="s">
        <v>9</v>
      </c>
      <c r="E535" t="s">
        <v>40</v>
      </c>
      <c r="F535" t="s">
        <v>11</v>
      </c>
      <c r="G535" t="s">
        <v>16</v>
      </c>
      <c r="H535" t="s">
        <v>22</v>
      </c>
      <c r="I535">
        <v>3.8769</v>
      </c>
      <c r="J535" s="8">
        <f t="shared" si="111"/>
        <v>3.2518376478108048E-2</v>
      </c>
      <c r="K535" s="8">
        <f t="shared" si="112"/>
        <v>-0.36560740934677294</v>
      </c>
      <c r="L535">
        <f t="shared" si="110"/>
        <v>3.2781376478108047E-2</v>
      </c>
      <c r="M535">
        <f t="shared" si="113"/>
        <v>-0.11444735280387236</v>
      </c>
      <c r="N535" s="15">
        <v>-2.63E-4</v>
      </c>
      <c r="O535" s="8">
        <f>(I535 - MAX(I482:I535)) / MAX(I482:I535)</f>
        <v>-0.37931862572444047</v>
      </c>
      <c r="P535" s="15">
        <v>5.8899999999999987E-2</v>
      </c>
      <c r="Q535">
        <f t="shared" si="114"/>
        <v>1.1262384577342284</v>
      </c>
      <c r="R535">
        <f t="shared" si="115"/>
        <v>-1.0644422227136248E-2</v>
      </c>
      <c r="S535" s="15">
        <f t="shared" si="116"/>
        <v>6.4706208527060438E-2</v>
      </c>
    </row>
    <row r="536" spans="1:19" x14ac:dyDescent="0.3">
      <c r="A536" s="2">
        <v>43647</v>
      </c>
      <c r="B536">
        <v>2019</v>
      </c>
      <c r="C536">
        <v>7</v>
      </c>
      <c r="D536" s="5" t="s">
        <v>9</v>
      </c>
      <c r="E536" t="s">
        <v>40</v>
      </c>
      <c r="F536" t="s">
        <v>11</v>
      </c>
      <c r="G536" t="s">
        <v>16</v>
      </c>
      <c r="H536" t="s">
        <v>22</v>
      </c>
      <c r="I536">
        <v>3.6701999999999999</v>
      </c>
      <c r="J536" s="8">
        <f t="shared" si="111"/>
        <v>-5.3315793546390183E-2</v>
      </c>
      <c r="K536" s="8">
        <f t="shared" si="112"/>
        <v>-0.3994305537374</v>
      </c>
      <c r="L536">
        <f t="shared" si="110"/>
        <v>-5.2991793546390185E-2</v>
      </c>
      <c r="M536">
        <f t="shared" si="113"/>
        <v>-0.25171277263245728</v>
      </c>
      <c r="N536" s="15">
        <v>-3.2400000000000001E-4</v>
      </c>
      <c r="O536" s="8">
        <f>(I536 - MAX(I482:I536)) / MAX(I482:I536)</f>
        <v>-0.41241074573340591</v>
      </c>
      <c r="P536" s="15">
        <v>-2E-3</v>
      </c>
      <c r="Q536">
        <f t="shared" si="114"/>
        <v>1.101741728912448</v>
      </c>
      <c r="R536">
        <f t="shared" si="115"/>
        <v>-1.5450046304575834E-2</v>
      </c>
      <c r="S536" s="15">
        <f t="shared" si="116"/>
        <v>6.3289489758575831E-2</v>
      </c>
    </row>
    <row r="537" spans="1:19" x14ac:dyDescent="0.3">
      <c r="A537" s="2">
        <v>43678</v>
      </c>
      <c r="B537">
        <v>2019</v>
      </c>
      <c r="C537">
        <v>8</v>
      </c>
      <c r="D537" s="5" t="s">
        <v>9</v>
      </c>
      <c r="E537" t="s">
        <v>40</v>
      </c>
      <c r="F537" t="s">
        <v>11</v>
      </c>
      <c r="G537" t="s">
        <v>16</v>
      </c>
      <c r="H537" t="s">
        <v>22</v>
      </c>
      <c r="I537">
        <v>3.2683</v>
      </c>
      <c r="J537" s="8">
        <f t="shared" si="111"/>
        <v>-0.10950356928777721</v>
      </c>
      <c r="K537" s="8">
        <f t="shared" si="112"/>
        <v>-0.46519505170833864</v>
      </c>
      <c r="L537">
        <f t="shared" si="110"/>
        <v>-0.10896256928777721</v>
      </c>
      <c r="M537">
        <f t="shared" si="113"/>
        <v>-0.2500811789639254</v>
      </c>
      <c r="N537" s="15">
        <v>-5.4100000000000003E-4</v>
      </c>
      <c r="O537" s="8">
        <f>(I537 - MAX(I482:I537)) / MAX(I482:I537)</f>
        <v>-0.47675386635074124</v>
      </c>
      <c r="P537" s="15">
        <v>-1.1599999999999999E-2</v>
      </c>
      <c r="Q537">
        <f t="shared" si="114"/>
        <v>1.0575127361689192</v>
      </c>
      <c r="R537">
        <f t="shared" si="115"/>
        <v>-1.77004082107814E-2</v>
      </c>
      <c r="S537" s="15">
        <f t="shared" si="116"/>
        <v>6.3185706466971511E-2</v>
      </c>
    </row>
    <row r="538" spans="1:19" x14ac:dyDescent="0.3">
      <c r="A538" s="2">
        <v>43709</v>
      </c>
      <c r="B538">
        <v>2019</v>
      </c>
      <c r="C538">
        <v>9</v>
      </c>
      <c r="D538" s="5" t="s">
        <v>9</v>
      </c>
      <c r="E538" t="s">
        <v>40</v>
      </c>
      <c r="F538" t="s">
        <v>11</v>
      </c>
      <c r="G538" t="s">
        <v>16</v>
      </c>
      <c r="H538" t="s">
        <v>22</v>
      </c>
      <c r="I538">
        <v>3.55</v>
      </c>
      <c r="J538" s="8">
        <f t="shared" si="111"/>
        <v>8.6191598078511719E-2</v>
      </c>
      <c r="K538" s="8">
        <f t="shared" si="112"/>
        <v>-0.41909935855478453</v>
      </c>
      <c r="L538">
        <f t="shared" si="110"/>
        <v>8.6687598078511716E-2</v>
      </c>
      <c r="M538">
        <f t="shared" si="113"/>
        <v>-0.13632177571067805</v>
      </c>
      <c r="N538" s="15">
        <v>-4.9600000000000002E-4</v>
      </c>
      <c r="O538" s="8">
        <f>(I538 - MAX(I482:I538)) / MAX(I482:I538)</f>
        <v>-0.43165444590310914</v>
      </c>
      <c r="P538" s="15">
        <v>4.1599999999999998E-2</v>
      </c>
      <c r="Q538">
        <f t="shared" si="114"/>
        <v>1.1506347143067317</v>
      </c>
      <c r="R538">
        <f t="shared" si="115"/>
        <v>-1.5423855477702008E-2</v>
      </c>
      <c r="S538" s="15">
        <f t="shared" si="116"/>
        <v>6.9496772035370524E-2</v>
      </c>
    </row>
    <row r="539" spans="1:19" x14ac:dyDescent="0.3">
      <c r="A539" s="2">
        <v>43739</v>
      </c>
      <c r="B539">
        <v>2019</v>
      </c>
      <c r="C539">
        <v>10</v>
      </c>
      <c r="D539" s="5" t="s">
        <v>9</v>
      </c>
      <c r="E539" t="s">
        <v>40</v>
      </c>
      <c r="F539" t="s">
        <v>11</v>
      </c>
      <c r="G539" t="s">
        <v>16</v>
      </c>
      <c r="H539" t="s">
        <v>22</v>
      </c>
      <c r="I539">
        <v>3.4146000000000001</v>
      </c>
      <c r="J539" s="8">
        <f t="shared" si="111"/>
        <v>-3.8140845070422466E-2</v>
      </c>
      <c r="K539" s="8">
        <f t="shared" si="112"/>
        <v>-0.44125539992145557</v>
      </c>
      <c r="L539">
        <f t="shared" si="110"/>
        <v>-3.7749845070422464E-2</v>
      </c>
      <c r="M539">
        <f t="shared" si="113"/>
        <v>-0.14882254324765679</v>
      </c>
      <c r="N539" s="15">
        <v>-3.9100000000000002E-4</v>
      </c>
      <c r="O539" s="8">
        <f>(I539 - MAX(I482:I539)) / MAX(I482:I539)</f>
        <v>-0.45333162562838203</v>
      </c>
      <c r="P539" s="15">
        <v>9.7999999999999997E-3</v>
      </c>
      <c r="Q539">
        <f t="shared" si="114"/>
        <v>1.3545902229049942</v>
      </c>
      <c r="R539">
        <f t="shared" si="115"/>
        <v>-2.5279934972067972E-2</v>
      </c>
      <c r="S539" s="15">
        <f t="shared" si="116"/>
        <v>6.9837806326966095E-2</v>
      </c>
    </row>
    <row r="540" spans="1:19" x14ac:dyDescent="0.3">
      <c r="A540" s="2">
        <v>43770</v>
      </c>
      <c r="B540">
        <v>2019</v>
      </c>
      <c r="C540">
        <v>11</v>
      </c>
      <c r="D540" s="5" t="s">
        <v>9</v>
      </c>
      <c r="E540" t="s">
        <v>40</v>
      </c>
      <c r="F540" t="s">
        <v>11</v>
      </c>
      <c r="G540" t="s">
        <v>16</v>
      </c>
      <c r="H540" t="s">
        <v>22</v>
      </c>
      <c r="I540">
        <v>3.3605</v>
      </c>
      <c r="J540" s="8">
        <f t="shared" si="111"/>
        <v>-1.5843729865870099E-2</v>
      </c>
      <c r="K540" s="8">
        <f t="shared" si="112"/>
        <v>-0.45010799842911364</v>
      </c>
      <c r="L540">
        <f t="shared" si="110"/>
        <v>-1.55497298658701E-2</v>
      </c>
      <c r="M540">
        <f t="shared" si="113"/>
        <v>-0.16430160882072478</v>
      </c>
      <c r="N540" s="15">
        <v>-2.9399999999999999E-4</v>
      </c>
      <c r="O540" s="8">
        <f>(I540 - MAX(I482:I540)) / MAX(I482:I540)</f>
        <v>-0.46199289167814028</v>
      </c>
      <c r="P540" s="15">
        <v>2.75E-2</v>
      </c>
      <c r="Q540">
        <f t="shared" si="114"/>
        <v>1.3711610244721306</v>
      </c>
      <c r="R540">
        <f t="shared" si="115"/>
        <v>-3.0611564762960286E-2</v>
      </c>
      <c r="S540" s="15">
        <f t="shared" si="116"/>
        <v>6.9803246496623589E-2</v>
      </c>
    </row>
    <row r="541" spans="1:19" x14ac:dyDescent="0.3">
      <c r="A541" s="2">
        <v>43800</v>
      </c>
      <c r="B541">
        <v>2019</v>
      </c>
      <c r="C541">
        <v>12</v>
      </c>
      <c r="D541" s="5" t="s">
        <v>9</v>
      </c>
      <c r="E541" t="s">
        <v>40</v>
      </c>
      <c r="F541" t="s">
        <v>11</v>
      </c>
      <c r="G541" t="s">
        <v>16</v>
      </c>
      <c r="H541" t="s">
        <v>22</v>
      </c>
      <c r="I541">
        <v>3.5438000000000001</v>
      </c>
      <c r="J541" s="8">
        <f t="shared" si="111"/>
        <v>5.454545454545455E-2</v>
      </c>
      <c r="K541" s="8">
        <f t="shared" si="112"/>
        <v>-0.42011388925251991</v>
      </c>
      <c r="L541">
        <f t="shared" si="110"/>
        <v>5.479545454545455E-2</v>
      </c>
      <c r="M541">
        <f t="shared" si="113"/>
        <v>-3.7555248791654575E-2</v>
      </c>
      <c r="N541" s="15">
        <v>-2.5000000000000001E-4</v>
      </c>
      <c r="O541" s="8">
        <f>(I541 - MAX(I482:I541)) / MAX(I482:I541)</f>
        <v>-0.43264704940603887</v>
      </c>
      <c r="P541" s="15">
        <v>1.21E-2</v>
      </c>
      <c r="Q541">
        <f t="shared" si="114"/>
        <v>1.6728031957462968</v>
      </c>
      <c r="R541">
        <f t="shared" si="115"/>
        <v>-3.5962524495217495E-2</v>
      </c>
      <c r="S541" s="15">
        <f t="shared" si="116"/>
        <v>7.1053814729069464E-2</v>
      </c>
    </row>
    <row r="542" spans="1:19" x14ac:dyDescent="0.3">
      <c r="A542" s="2">
        <v>43831</v>
      </c>
      <c r="B542">
        <v>2020</v>
      </c>
      <c r="C542">
        <v>1</v>
      </c>
      <c r="D542" s="5" t="s">
        <v>9</v>
      </c>
      <c r="E542" t="s">
        <v>40</v>
      </c>
      <c r="F542" t="s">
        <v>11</v>
      </c>
      <c r="G542" t="s">
        <v>16</v>
      </c>
      <c r="H542" t="s">
        <v>22</v>
      </c>
      <c r="I542">
        <v>3.3765999999999998</v>
      </c>
      <c r="J542" s="8">
        <f t="shared" si="111"/>
        <v>-4.7180992155313572E-2</v>
      </c>
      <c r="K542" s="8">
        <f t="shared" si="112"/>
        <v>-0.44747349129467207</v>
      </c>
      <c r="L542">
        <f t="shared" si="110"/>
        <v>-4.6919992155313575E-2</v>
      </c>
      <c r="M542">
        <f t="shared" si="113"/>
        <v>-0.14004902988868848</v>
      </c>
      <c r="N542" s="15">
        <v>-2.61E-4</v>
      </c>
      <c r="O542" s="8">
        <f>(I542 - MAX(I482:I542)) / MAX(I482:I542)</f>
        <v>-0.45941532451730654</v>
      </c>
      <c r="P542" s="15">
        <v>-2.87E-2</v>
      </c>
      <c r="Q542">
        <f t="shared" si="114"/>
        <v>1.6339499624882035</v>
      </c>
      <c r="R542">
        <f t="shared" si="115"/>
        <v>-3.0684757619978763E-2</v>
      </c>
      <c r="S542" s="15">
        <f t="shared" si="116"/>
        <v>7.0725223729914952E-2</v>
      </c>
    </row>
    <row r="543" spans="1:19" x14ac:dyDescent="0.3">
      <c r="A543" s="2">
        <v>43862</v>
      </c>
      <c r="B543">
        <v>2020</v>
      </c>
      <c r="C543">
        <v>2</v>
      </c>
      <c r="D543" s="5" t="s">
        <v>9</v>
      </c>
      <c r="E543" t="s">
        <v>40</v>
      </c>
      <c r="F543" t="s">
        <v>11</v>
      </c>
      <c r="G543" t="s">
        <v>16</v>
      </c>
      <c r="H543" t="s">
        <v>22</v>
      </c>
      <c r="I543">
        <v>3.161</v>
      </c>
      <c r="J543" s="8">
        <f t="shared" si="111"/>
        <v>-6.3851211277616476E-2</v>
      </c>
      <c r="K543" s="8">
        <f t="shared" si="112"/>
        <v>-0.48275297813849982</v>
      </c>
      <c r="L543">
        <f t="shared" si="110"/>
        <v>-6.3463211277616477E-2</v>
      </c>
      <c r="M543">
        <f t="shared" si="113"/>
        <v>-0.2627112733837596</v>
      </c>
      <c r="N543" s="15">
        <v>-3.88E-4</v>
      </c>
      <c r="O543" s="8">
        <f>(I543 - MAX(I482:I543)) / MAX(I482:I543)</f>
        <v>-0.49393231084499373</v>
      </c>
      <c r="P543" s="15">
        <v>-8.5500000000000007E-2</v>
      </c>
      <c r="Q543">
        <f t="shared" si="114"/>
        <v>1.2054261239609683</v>
      </c>
      <c r="R543">
        <f t="shared" si="115"/>
        <v>-2.0872039402520526E-2</v>
      </c>
      <c r="S543" s="15">
        <f t="shared" si="116"/>
        <v>7.0407896438420922E-2</v>
      </c>
    </row>
    <row r="544" spans="1:19" x14ac:dyDescent="0.3">
      <c r="A544" s="2">
        <v>43891</v>
      </c>
      <c r="B544">
        <v>2020</v>
      </c>
      <c r="C544">
        <v>3</v>
      </c>
      <c r="D544" s="5" t="s">
        <v>9</v>
      </c>
      <c r="E544" t="s">
        <v>40</v>
      </c>
      <c r="F544" t="s">
        <v>11</v>
      </c>
      <c r="G544" t="s">
        <v>16</v>
      </c>
      <c r="H544" t="s">
        <v>22</v>
      </c>
      <c r="I544">
        <v>2.1073</v>
      </c>
      <c r="J544" s="8">
        <f t="shared" si="111"/>
        <v>-0.33334387851945591</v>
      </c>
      <c r="K544" s="8">
        <f t="shared" si="112"/>
        <v>-0.6551741065584501</v>
      </c>
      <c r="L544">
        <f t="shared" si="110"/>
        <v>-0.33289287851945593</v>
      </c>
      <c r="M544">
        <f t="shared" si="113"/>
        <v>-0.37608681440555392</v>
      </c>
      <c r="N544" s="15">
        <v>-4.5100000000000001E-4</v>
      </c>
      <c r="O544" s="8">
        <f>(I544 - MAX(I482:I544)) / MAX(I482:I544)</f>
        <v>-0.66262687714130186</v>
      </c>
      <c r="P544" s="15">
        <v>-0.16300000000000001</v>
      </c>
      <c r="Q544">
        <f t="shared" si="114"/>
        <v>1.6072933579272424</v>
      </c>
      <c r="R544">
        <f t="shared" si="115"/>
        <v>-2.2525558615619085E-2</v>
      </c>
      <c r="S544" s="15">
        <f t="shared" si="116"/>
        <v>0.11513110229832252</v>
      </c>
    </row>
    <row r="545" spans="1:19" x14ac:dyDescent="0.3">
      <c r="A545" s="2">
        <v>43922</v>
      </c>
      <c r="B545">
        <v>2020</v>
      </c>
      <c r="C545">
        <v>4</v>
      </c>
      <c r="D545" s="5" t="s">
        <v>9</v>
      </c>
      <c r="E545" t="s">
        <v>40</v>
      </c>
      <c r="F545" t="s">
        <v>11</v>
      </c>
      <c r="G545" t="s">
        <v>16</v>
      </c>
      <c r="H545" t="s">
        <v>22</v>
      </c>
      <c r="I545">
        <v>1.9358</v>
      </c>
      <c r="J545" s="8">
        <f t="shared" si="111"/>
        <v>-8.1383761211028319E-2</v>
      </c>
      <c r="K545" s="8">
        <f t="shared" si="112"/>
        <v>-0.68323733472967674</v>
      </c>
      <c r="L545">
        <f t="shared" si="110"/>
        <v>-8.1008761211028318E-2</v>
      </c>
      <c r="M545">
        <f t="shared" si="113"/>
        <v>-0.53371732275161221</v>
      </c>
      <c r="N545" s="15">
        <v>-3.7500000000000001E-4</v>
      </c>
      <c r="O545" s="8">
        <f>(I545 - MAX(I482:I545)) / MAX(I482:I545)</f>
        <v>-0.69008357081105309</v>
      </c>
      <c r="P545" s="15">
        <v>5.0599999999999999E-2</v>
      </c>
      <c r="Q545">
        <f t="shared" si="114"/>
        <v>1.3689870352898359</v>
      </c>
      <c r="R545">
        <f t="shared" si="115"/>
        <v>-4.0003652190116479E-2</v>
      </c>
      <c r="S545" s="15">
        <f t="shared" si="116"/>
        <v>0.10760410091198407</v>
      </c>
    </row>
    <row r="546" spans="1:19" x14ac:dyDescent="0.3">
      <c r="A546" s="2">
        <v>43952</v>
      </c>
      <c r="B546">
        <v>2020</v>
      </c>
      <c r="C546">
        <v>5</v>
      </c>
      <c r="D546" s="5" t="s">
        <v>9</v>
      </c>
      <c r="E546" t="s">
        <v>40</v>
      </c>
      <c r="F546" t="s">
        <v>11</v>
      </c>
      <c r="G546" t="s">
        <v>16</v>
      </c>
      <c r="H546" t="s">
        <v>22</v>
      </c>
      <c r="I546">
        <v>1.9358</v>
      </c>
      <c r="J546" s="8">
        <f t="shared" si="111"/>
        <v>0</v>
      </c>
      <c r="K546" s="8">
        <f t="shared" si="112"/>
        <v>-0.68323733472967674</v>
      </c>
      <c r="L546">
        <f t="shared" si="110"/>
        <v>4.2999999999999999E-4</v>
      </c>
      <c r="M546">
        <f t="shared" si="113"/>
        <v>-0.44149531621928095</v>
      </c>
      <c r="N546" s="15">
        <v>-4.2999999999999999E-4</v>
      </c>
      <c r="O546" s="8">
        <f>(I546 - MAX(I482:I546)) / MAX(I482:I546)</f>
        <v>-0.69008357081105309</v>
      </c>
      <c r="P546" s="15">
        <v>4.1799999999999997E-2</v>
      </c>
      <c r="Q546">
        <f t="shared" si="114"/>
        <v>1.3611436696763666</v>
      </c>
      <c r="R546">
        <f t="shared" si="115"/>
        <v>-4.2075419099494291E-2</v>
      </c>
      <c r="S546" s="15">
        <f t="shared" si="116"/>
        <v>0.10661576900913529</v>
      </c>
    </row>
    <row r="547" spans="1:19" x14ac:dyDescent="0.3">
      <c r="A547" s="2">
        <v>43983</v>
      </c>
      <c r="B547">
        <v>2020</v>
      </c>
      <c r="C547">
        <v>6</v>
      </c>
      <c r="D547" s="5" t="s">
        <v>9</v>
      </c>
      <c r="E547" t="s">
        <v>40</v>
      </c>
      <c r="F547" t="s">
        <v>11</v>
      </c>
      <c r="G547" t="s">
        <v>16</v>
      </c>
      <c r="H547" t="s">
        <v>22</v>
      </c>
      <c r="I547">
        <v>2.0659999999999998</v>
      </c>
      <c r="J547" s="8">
        <f t="shared" ref="J547:J578" si="117">(I547-I546)/I546</f>
        <v>6.7259014360987635E-2</v>
      </c>
      <c r="K547" s="8">
        <f t="shared" ref="K547:K578" si="118">(K546+1)*(J547+1)-1</f>
        <v>-0.66193219007723525</v>
      </c>
      <c r="L547">
        <f t="shared" si="110"/>
        <v>6.7621014360987636E-2</v>
      </c>
      <c r="M547">
        <f t="shared" si="113"/>
        <v>-0.40364987253152201</v>
      </c>
      <c r="N547" s="15">
        <v>-3.6200000000000002E-4</v>
      </c>
      <c r="O547" s="8">
        <f>(I547 - MAX(I482:I547)) / MAX(I482:I547)</f>
        <v>-0.66923889724952779</v>
      </c>
      <c r="P547" s="15">
        <v>6.0299999999999999E-2</v>
      </c>
      <c r="Q547">
        <f t="shared" si="114"/>
        <v>1.4074894210000841</v>
      </c>
      <c r="R547">
        <f t="shared" si="115"/>
        <v>-3.9177861370653322E-2</v>
      </c>
      <c r="S547" s="15">
        <f t="shared" si="116"/>
        <v>0.10941923310602372</v>
      </c>
    </row>
    <row r="548" spans="1:19" x14ac:dyDescent="0.3">
      <c r="A548" s="2">
        <v>44013</v>
      </c>
      <c r="B548">
        <v>2020</v>
      </c>
      <c r="C548">
        <v>7</v>
      </c>
      <c r="D548" s="5" t="s">
        <v>9</v>
      </c>
      <c r="E548" t="s">
        <v>40</v>
      </c>
      <c r="F548" t="s">
        <v>11</v>
      </c>
      <c r="G548" t="s">
        <v>16</v>
      </c>
      <c r="H548" t="s">
        <v>22</v>
      </c>
      <c r="I548">
        <v>1.7182999999999999</v>
      </c>
      <c r="J548" s="8">
        <f t="shared" si="117"/>
        <v>-0.16829622458857693</v>
      </c>
      <c r="K548" s="8">
        <f t="shared" si="118"/>
        <v>-0.71882772614216517</v>
      </c>
      <c r="L548">
        <f t="shared" si="110"/>
        <v>-0.16786022458857694</v>
      </c>
      <c r="M548">
        <f t="shared" si="113"/>
        <v>-0.46672472406577803</v>
      </c>
      <c r="N548" s="15">
        <v>-4.3600000000000003E-4</v>
      </c>
      <c r="O548" s="8">
        <f>(I548 - MAX(I482:I548)) / MAX(I482:I548)</f>
        <v>-0.72490474208318656</v>
      </c>
      <c r="P548" s="15">
        <v>-1.8499999999999999E-2</v>
      </c>
      <c r="Q548">
        <f t="shared" si="114"/>
        <v>1.4382607444146225</v>
      </c>
      <c r="R548">
        <f t="shared" si="115"/>
        <v>-4.6676969218872946E-2</v>
      </c>
      <c r="S548" s="15">
        <f t="shared" si="116"/>
        <v>0.11514159413094459</v>
      </c>
    </row>
    <row r="549" spans="1:19" x14ac:dyDescent="0.3">
      <c r="A549" s="2">
        <v>44044</v>
      </c>
      <c r="B549">
        <v>2020</v>
      </c>
      <c r="C549">
        <v>8</v>
      </c>
      <c r="D549" s="5" t="s">
        <v>9</v>
      </c>
      <c r="E549" t="s">
        <v>40</v>
      </c>
      <c r="F549" t="s">
        <v>11</v>
      </c>
      <c r="G549" t="s">
        <v>16</v>
      </c>
      <c r="H549" t="s">
        <v>22</v>
      </c>
      <c r="I549">
        <v>1.7698</v>
      </c>
      <c r="J549" s="8">
        <f t="shared" si="117"/>
        <v>2.9971483442937846E-2</v>
      </c>
      <c r="K549" s="8">
        <f t="shared" si="118"/>
        <v>-0.71040057599162187</v>
      </c>
      <c r="L549">
        <f t="shared" si="110"/>
        <v>3.0407483442937845E-2</v>
      </c>
      <c r="M549">
        <f t="shared" si="113"/>
        <v>-0.36290012956052409</v>
      </c>
      <c r="N549" s="15">
        <v>-4.3600000000000003E-4</v>
      </c>
      <c r="O549" s="8">
        <f>(I549 - MAX(I482:I549)) / MAX(I482:I549)</f>
        <v>-0.71665972911530207</v>
      </c>
      <c r="P549" s="15">
        <v>3.09E-2</v>
      </c>
      <c r="Q549">
        <f t="shared" si="114"/>
        <v>1.4509210145271823</v>
      </c>
      <c r="R549">
        <f t="shared" si="115"/>
        <v>-4.0126613990854806E-2</v>
      </c>
      <c r="S549" s="15">
        <f t="shared" si="116"/>
        <v>0.1160794782282942</v>
      </c>
    </row>
    <row r="550" spans="1:19" x14ac:dyDescent="0.3">
      <c r="A550" s="2">
        <v>44075</v>
      </c>
      <c r="B550">
        <v>2020</v>
      </c>
      <c r="C550">
        <v>9</v>
      </c>
      <c r="D550" s="5" t="s">
        <v>9</v>
      </c>
      <c r="E550" t="s">
        <v>40</v>
      </c>
      <c r="F550" t="s">
        <v>11</v>
      </c>
      <c r="G550" t="s">
        <v>16</v>
      </c>
      <c r="H550" t="s">
        <v>22</v>
      </c>
      <c r="I550">
        <v>1.5198</v>
      </c>
      <c r="J550" s="8">
        <f t="shared" si="117"/>
        <v>-0.14125889931065658</v>
      </c>
      <c r="K550" s="8">
        <f t="shared" si="118"/>
        <v>-0.75130907186804552</v>
      </c>
      <c r="L550">
        <f t="shared" si="110"/>
        <v>-0.14082189931065658</v>
      </c>
      <c r="M550">
        <f t="shared" si="113"/>
        <v>-0.54715819681785627</v>
      </c>
      <c r="N550" s="15">
        <v>-4.37E-4</v>
      </c>
      <c r="O550" s="8">
        <f>(I550 - MAX(I482:I550)) / MAX(I482:I550)</f>
        <v>-0.75668406391085774</v>
      </c>
      <c r="P550" s="15">
        <v>-2.41E-2</v>
      </c>
      <c r="Q550">
        <f t="shared" si="114"/>
        <v>1.4042842257813082</v>
      </c>
      <c r="R550">
        <f t="shared" si="115"/>
        <v>-5.1454620416186855E-2</v>
      </c>
      <c r="S550" s="15">
        <f t="shared" si="116"/>
        <v>0.11163934457356052</v>
      </c>
    </row>
    <row r="551" spans="1:19" x14ac:dyDescent="0.3">
      <c r="A551" s="2">
        <v>44105</v>
      </c>
      <c r="B551">
        <v>2020</v>
      </c>
      <c r="C551">
        <v>10</v>
      </c>
      <c r="D551" s="5" t="s">
        <v>9</v>
      </c>
      <c r="E551" t="s">
        <v>40</v>
      </c>
      <c r="F551" t="s">
        <v>11</v>
      </c>
      <c r="G551" t="s">
        <v>16</v>
      </c>
      <c r="H551" t="s">
        <v>22</v>
      </c>
      <c r="I551">
        <v>1.6254</v>
      </c>
      <c r="J551" s="8">
        <f t="shared" si="117"/>
        <v>6.9482826687722016E-2</v>
      </c>
      <c r="K551" s="8">
        <f t="shared" si="118"/>
        <v>-0.73402932320984415</v>
      </c>
      <c r="L551">
        <f t="shared" si="110"/>
        <v>6.9988826687722022E-2</v>
      </c>
      <c r="M551">
        <f t="shared" si="113"/>
        <v>-0.44219901399931616</v>
      </c>
      <c r="N551" s="15">
        <v>-5.0600000000000005E-4</v>
      </c>
      <c r="O551" s="8">
        <f>(I551 - MAX(I482:I551)) / MAX(I482:I551)</f>
        <v>-0.73977778489321511</v>
      </c>
      <c r="P551" s="15">
        <v>-7.3700000000000002E-2</v>
      </c>
      <c r="Q551">
        <f t="shared" si="114"/>
        <v>1.1290643870419823</v>
      </c>
      <c r="R551">
        <f t="shared" si="115"/>
        <v>-3.6518108719385205E-2</v>
      </c>
      <c r="S551" s="15">
        <f t="shared" si="116"/>
        <v>0.11783418364737747</v>
      </c>
    </row>
    <row r="552" spans="1:19" x14ac:dyDescent="0.3">
      <c r="A552" s="2">
        <v>44136</v>
      </c>
      <c r="B552">
        <v>2020</v>
      </c>
      <c r="C552">
        <v>11</v>
      </c>
      <c r="D552" s="5" t="s">
        <v>9</v>
      </c>
      <c r="E552" t="s">
        <v>40</v>
      </c>
      <c r="F552" t="s">
        <v>11</v>
      </c>
      <c r="G552" t="s">
        <v>16</v>
      </c>
      <c r="H552" t="s">
        <v>22</v>
      </c>
      <c r="I552">
        <v>2.3967000000000001</v>
      </c>
      <c r="J552" s="8">
        <f t="shared" si="117"/>
        <v>0.47452934662236995</v>
      </c>
      <c r="K552" s="8">
        <f t="shared" si="118"/>
        <v>-0.60781843173190198</v>
      </c>
      <c r="L552">
        <f t="shared" si="110"/>
        <v>0.47504134662236996</v>
      </c>
      <c r="M552">
        <f t="shared" si="113"/>
        <v>-5.8198391410379531E-2</v>
      </c>
      <c r="N552" s="15">
        <v>-5.1199999999999998E-4</v>
      </c>
      <c r="O552" s="8">
        <f>(I552 - MAX(I482:I552)) / MAX(I482:I552)</f>
        <v>-0.61629470718196666</v>
      </c>
      <c r="P552" s="15">
        <v>0.18060000000000001</v>
      </c>
      <c r="Q552">
        <f t="shared" si="114"/>
        <v>1.8086999841047564</v>
      </c>
      <c r="R552">
        <f t="shared" si="115"/>
        <v>-9.3612120332981236E-3</v>
      </c>
      <c r="S552" s="15">
        <f t="shared" si="116"/>
        <v>0.19285017755541645</v>
      </c>
    </row>
    <row r="553" spans="1:19" x14ac:dyDescent="0.3">
      <c r="A553" s="2">
        <v>44166</v>
      </c>
      <c r="B553">
        <v>2020</v>
      </c>
      <c r="C553">
        <v>12</v>
      </c>
      <c r="D553" s="5" t="s">
        <v>9</v>
      </c>
      <c r="E553" t="s">
        <v>40</v>
      </c>
      <c r="F553" t="s">
        <v>11</v>
      </c>
      <c r="G553" t="s">
        <v>16</v>
      </c>
      <c r="H553" t="s">
        <v>22</v>
      </c>
      <c r="I553">
        <v>2.5162</v>
      </c>
      <c r="J553" s="8">
        <f t="shared" si="117"/>
        <v>4.9860224475320208E-2</v>
      </c>
      <c r="K553" s="8">
        <f t="shared" si="118"/>
        <v>-0.58826417070297154</v>
      </c>
      <c r="L553">
        <f t="shared" si="110"/>
        <v>5.037522447532021E-2</v>
      </c>
      <c r="M553">
        <f t="shared" si="113"/>
        <v>-6.0152559159436396E-2</v>
      </c>
      <c r="N553" s="15">
        <v>-5.1500000000000005E-4</v>
      </c>
      <c r="O553" s="8">
        <f>(I553 - MAX(I482:I553)) / MAX(I482:I553)</f>
        <v>-0.59716307514969102</v>
      </c>
      <c r="P553" s="15">
        <v>2.2599999999999999E-2</v>
      </c>
      <c r="Q553">
        <f t="shared" si="114"/>
        <v>1.8073697757335869</v>
      </c>
      <c r="R553">
        <f t="shared" si="115"/>
        <v>-1.1352295513343172E-2</v>
      </c>
      <c r="S553" s="15">
        <f t="shared" si="116"/>
        <v>0.19270871904304288</v>
      </c>
    </row>
    <row r="554" spans="1:19" x14ac:dyDescent="0.3">
      <c r="A554" s="2">
        <v>44197</v>
      </c>
      <c r="B554">
        <v>2021</v>
      </c>
      <c r="C554">
        <v>1</v>
      </c>
      <c r="D554" s="5" t="s">
        <v>9</v>
      </c>
      <c r="E554" t="s">
        <v>40</v>
      </c>
      <c r="F554" t="s">
        <v>11</v>
      </c>
      <c r="G554" t="s">
        <v>16</v>
      </c>
      <c r="H554" t="s">
        <v>22</v>
      </c>
      <c r="I554">
        <v>2.3942000000000001</v>
      </c>
      <c r="J554" s="8">
        <f t="shared" si="117"/>
        <v>-4.8485811938637581E-2</v>
      </c>
      <c r="K554" s="8">
        <f t="shared" si="118"/>
        <v>-0.60822751669066621</v>
      </c>
      <c r="L554">
        <f t="shared" si="110"/>
        <v>-4.7999811938637581E-2</v>
      </c>
      <c r="M554">
        <f t="shared" si="113"/>
        <v>-6.0612584115723608E-2</v>
      </c>
      <c r="N554" s="15">
        <v>-4.86E-4</v>
      </c>
      <c r="O554" s="8">
        <f>(I554 - MAX(I482:I554)) / MAX(I482:I554)</f>
        <v>-0.61669495052992218</v>
      </c>
      <c r="P554" s="15">
        <v>-2.52E-2</v>
      </c>
      <c r="Q554">
        <f t="shared" si="114"/>
        <v>1.810327818391519</v>
      </c>
      <c r="R554">
        <f t="shared" si="115"/>
        <v>-1.2003844235090138E-2</v>
      </c>
      <c r="S554" s="15">
        <f t="shared" si="116"/>
        <v>0.19273073034497284</v>
      </c>
    </row>
    <row r="555" spans="1:19" x14ac:dyDescent="0.3">
      <c r="A555" s="2">
        <v>44228</v>
      </c>
      <c r="B555">
        <v>2021</v>
      </c>
      <c r="C555">
        <v>2</v>
      </c>
      <c r="D555" s="5" t="s">
        <v>9</v>
      </c>
      <c r="E555" t="s">
        <v>40</v>
      </c>
      <c r="F555" t="s">
        <v>11</v>
      </c>
      <c r="G555" t="s">
        <v>16</v>
      </c>
      <c r="H555" t="s">
        <v>22</v>
      </c>
      <c r="I555">
        <v>2.8725999999999998</v>
      </c>
      <c r="J555" s="8">
        <f t="shared" si="117"/>
        <v>0.19981622253779954</v>
      </c>
      <c r="K555" s="8">
        <f t="shared" si="118"/>
        <v>-0.529945018981542</v>
      </c>
      <c r="L555">
        <f t="shared" si="110"/>
        <v>0.20018722253779955</v>
      </c>
      <c r="M555">
        <f t="shared" si="113"/>
        <v>5.1152257248509858E-2</v>
      </c>
      <c r="N555" s="15">
        <v>-3.7100000000000002E-4</v>
      </c>
      <c r="O555" s="8">
        <f>(I555 - MAX(I482:I555)) / MAX(I482:I555)</f>
        <v>-0.54010438346514689</v>
      </c>
      <c r="P555" s="15">
        <v>4.4499999999999998E-2</v>
      </c>
      <c r="Q555">
        <f t="shared" si="114"/>
        <v>1.9978778731485771</v>
      </c>
      <c r="R555">
        <f t="shared" si="115"/>
        <v>-1.170717403399906E-2</v>
      </c>
      <c r="S555" s="15">
        <f t="shared" si="116"/>
        <v>0.20114384845056324</v>
      </c>
    </row>
    <row r="556" spans="1:19" x14ac:dyDescent="0.3">
      <c r="A556" s="2">
        <v>44256</v>
      </c>
      <c r="B556">
        <v>2021</v>
      </c>
      <c r="C556">
        <v>3</v>
      </c>
      <c r="D556" s="5" t="s">
        <v>9</v>
      </c>
      <c r="E556" t="s">
        <v>40</v>
      </c>
      <c r="F556" t="s">
        <v>11</v>
      </c>
      <c r="G556" t="s">
        <v>16</v>
      </c>
      <c r="H556" t="s">
        <v>22</v>
      </c>
      <c r="I556">
        <v>2.8721000000000001</v>
      </c>
      <c r="J556" s="8">
        <f t="shared" si="117"/>
        <v>-1.7405834435693201E-4</v>
      </c>
      <c r="K556" s="8">
        <f t="shared" si="118"/>
        <v>-0.53002683597329481</v>
      </c>
      <c r="L556">
        <f t="shared" si="110"/>
        <v>1.29941655643068E-4</v>
      </c>
      <c r="M556">
        <f t="shared" si="113"/>
        <v>0.22369298122626785</v>
      </c>
      <c r="N556" s="15">
        <v>-3.0400000000000002E-4</v>
      </c>
      <c r="O556" s="8">
        <f>(I556 - MAX(I482:I556)) / MAX(I482:I556)</f>
        <v>-0.54018443213473788</v>
      </c>
      <c r="P556" s="15">
        <v>7.7800000000000008E-2</v>
      </c>
      <c r="Q556">
        <f t="shared" si="114"/>
        <v>1.864306261984608</v>
      </c>
      <c r="R556">
        <f t="shared" si="115"/>
        <v>-1.9872256878843454E-2</v>
      </c>
      <c r="S556" s="15">
        <f t="shared" si="116"/>
        <v>0.17005836907631</v>
      </c>
    </row>
    <row r="557" spans="1:19" x14ac:dyDescent="0.3">
      <c r="A557" s="2">
        <v>44287</v>
      </c>
      <c r="B557">
        <v>2021</v>
      </c>
      <c r="C557">
        <v>4</v>
      </c>
      <c r="D557" s="5" t="s">
        <v>9</v>
      </c>
      <c r="E557" t="s">
        <v>40</v>
      </c>
      <c r="F557" t="s">
        <v>11</v>
      </c>
      <c r="G557" t="s">
        <v>16</v>
      </c>
      <c r="H557" t="s">
        <v>22</v>
      </c>
      <c r="I557">
        <v>3.2149999999999999</v>
      </c>
      <c r="J557" s="8">
        <f t="shared" si="117"/>
        <v>0.11938999338463137</v>
      </c>
      <c r="K557" s="8">
        <f t="shared" si="118"/>
        <v>-0.47391674302919218</v>
      </c>
      <c r="L557">
        <f t="shared" si="110"/>
        <v>0.11966099338463136</v>
      </c>
      <c r="M557">
        <f t="shared" ref="M557:M588" si="119">(AVERAGE(J546:J557)-AVERAGE(N546:N557))/STDEV(J546:J557)</f>
        <v>0.32765271828841352</v>
      </c>
      <c r="N557" s="15">
        <v>-2.7099999999999997E-4</v>
      </c>
      <c r="O557" s="8">
        <f>(I557 - MAX(I482:I557)) / MAX(I482:I557)</f>
        <v>-0.48528705452915377</v>
      </c>
      <c r="P557" s="15">
        <v>1.4200000000000001E-2</v>
      </c>
      <c r="Q557">
        <f t="shared" ref="Q557:Q588" si="120" xml:space="preserve"> _xlfn.COVARIANCE.P(J546:J557, P546:P557) / _xlfn.VAR.P(P546:P557)</f>
        <v>1.9101171510039634</v>
      </c>
      <c r="R557">
        <f t="shared" ref="R557:R588" si="121">AVERAGE(J546:J557)-(AVERAGE(N546:N557)+Q557*(AVERAGE(P546:P557)-AVERAGE(N546:N557)))</f>
        <v>1.237721952503483E-3</v>
      </c>
      <c r="S557" s="15">
        <f t="shared" ref="S557:S588" si="122">STDEV(J546:J557)</f>
        <v>0.16713837564622333</v>
      </c>
    </row>
    <row r="558" spans="1:19" x14ac:dyDescent="0.3">
      <c r="A558" s="2">
        <v>44317</v>
      </c>
      <c r="B558">
        <v>2021</v>
      </c>
      <c r="C558">
        <v>5</v>
      </c>
      <c r="D558" s="5" t="s">
        <v>9</v>
      </c>
      <c r="E558" t="s">
        <v>40</v>
      </c>
      <c r="F558" t="s">
        <v>11</v>
      </c>
      <c r="G558" t="s">
        <v>16</v>
      </c>
      <c r="H558" t="s">
        <v>22</v>
      </c>
      <c r="I558">
        <v>3.4239999999999999</v>
      </c>
      <c r="J558" s="8">
        <f t="shared" si="117"/>
        <v>6.500777604976675E-2</v>
      </c>
      <c r="K558" s="8">
        <f t="shared" si="118"/>
        <v>-0.43971724047650207</v>
      </c>
      <c r="L558">
        <f t="shared" si="110"/>
        <v>6.5193776049766755E-2</v>
      </c>
      <c r="M558">
        <f t="shared" si="119"/>
        <v>0.36182700838851645</v>
      </c>
      <c r="N558" s="15">
        <v>-1.8599999999999999E-4</v>
      </c>
      <c r="O558" s="8">
        <f>(I558 - MAX(I482:I558)) / MAX(I482:I558)</f>
        <v>-0.45182671064006918</v>
      </c>
      <c r="P558" s="15">
        <v>1.6299999999999999E-2</v>
      </c>
      <c r="Q558">
        <f t="shared" si="120"/>
        <v>1.932882439327219</v>
      </c>
      <c r="R558">
        <f t="shared" si="121"/>
        <v>1.0143447712878381E-2</v>
      </c>
      <c r="S558" s="15">
        <f t="shared" si="122"/>
        <v>0.16626819738032844</v>
      </c>
    </row>
    <row r="559" spans="1:19" x14ac:dyDescent="0.3">
      <c r="A559" s="2">
        <v>44348</v>
      </c>
      <c r="B559">
        <v>2021</v>
      </c>
      <c r="C559">
        <v>6</v>
      </c>
      <c r="D559" s="5" t="s">
        <v>9</v>
      </c>
      <c r="E559" t="s">
        <v>40</v>
      </c>
      <c r="F559" t="s">
        <v>11</v>
      </c>
      <c r="G559" t="s">
        <v>16</v>
      </c>
      <c r="H559" t="s">
        <v>22</v>
      </c>
      <c r="I559">
        <v>3.2195</v>
      </c>
      <c r="J559" s="8">
        <f t="shared" si="117"/>
        <v>-5.97254672897196E-2</v>
      </c>
      <c r="K559" s="8">
        <f t="shared" si="118"/>
        <v>-0.47318039010341661</v>
      </c>
      <c r="L559">
        <f t="shared" si="110"/>
        <v>-5.9484467289719602E-2</v>
      </c>
      <c r="M559">
        <f t="shared" si="119"/>
        <v>0.29200386714332294</v>
      </c>
      <c r="N559" s="15">
        <v>-2.41E-4</v>
      </c>
      <c r="O559" s="8">
        <f>(I559 - MAX(I482:I559)) / MAX(I482:I559)</f>
        <v>-0.48456661650283372</v>
      </c>
      <c r="P559" s="15">
        <v>6.1000000000000004E-3</v>
      </c>
      <c r="Q559">
        <f t="shared" si="120"/>
        <v>2.0134448320398772</v>
      </c>
      <c r="R559">
        <f t="shared" si="121"/>
        <v>6.5809860262626349E-3</v>
      </c>
      <c r="S559" s="15">
        <f t="shared" si="122"/>
        <v>0.16975186480340007</v>
      </c>
    </row>
    <row r="560" spans="1:19" x14ac:dyDescent="0.3">
      <c r="A560" s="2">
        <v>44378</v>
      </c>
      <c r="B560">
        <v>2021</v>
      </c>
      <c r="C560">
        <v>7</v>
      </c>
      <c r="D560" s="5" t="s">
        <v>9</v>
      </c>
      <c r="E560" t="s">
        <v>40</v>
      </c>
      <c r="F560" t="s">
        <v>11</v>
      </c>
      <c r="G560" t="s">
        <v>16</v>
      </c>
      <c r="H560" t="s">
        <v>22</v>
      </c>
      <c r="I560">
        <v>3.0874999999999999</v>
      </c>
      <c r="J560" s="8">
        <f t="shared" si="117"/>
        <v>-4.1000155303618613E-2</v>
      </c>
      <c r="K560" s="8">
        <f t="shared" si="118"/>
        <v>-0.49478007592616824</v>
      </c>
      <c r="L560">
        <f t="shared" si="110"/>
        <v>-4.0624155303618611E-2</v>
      </c>
      <c r="M560">
        <f t="shared" si="119"/>
        <v>0.37955009866053235</v>
      </c>
      <c r="N560" s="15">
        <v>-3.7599999999999998E-4</v>
      </c>
      <c r="O560" s="8">
        <f>(I560 - MAX(I482:I560)) / MAX(I482:I560)</f>
        <v>-0.50569946527488718</v>
      </c>
      <c r="P560" s="15">
        <v>6.1999999999999998E-3</v>
      </c>
      <c r="Q560">
        <f t="shared" si="120"/>
        <v>1.9036944248819565</v>
      </c>
      <c r="R560">
        <f t="shared" si="121"/>
        <v>1.5618252919607063E-2</v>
      </c>
      <c r="S560" s="15">
        <f t="shared" si="122"/>
        <v>0.15853297618280079</v>
      </c>
    </row>
    <row r="561" spans="1:19" x14ac:dyDescent="0.3">
      <c r="A561" s="2">
        <v>44409</v>
      </c>
      <c r="B561">
        <v>2021</v>
      </c>
      <c r="C561">
        <v>8</v>
      </c>
      <c r="D561" s="5" t="s">
        <v>9</v>
      </c>
      <c r="E561" t="s">
        <v>40</v>
      </c>
      <c r="F561" t="s">
        <v>11</v>
      </c>
      <c r="G561" t="s">
        <v>16</v>
      </c>
      <c r="H561" t="s">
        <v>22</v>
      </c>
      <c r="I561">
        <v>3.1274999999999999</v>
      </c>
      <c r="J561" s="8">
        <f t="shared" si="117"/>
        <v>1.2955465587044546E-2</v>
      </c>
      <c r="K561" s="8">
        <f t="shared" si="118"/>
        <v>-0.48823471658594042</v>
      </c>
      <c r="L561">
        <f t="shared" si="110"/>
        <v>1.3404465587044546E-2</v>
      </c>
      <c r="M561">
        <f t="shared" si="119"/>
        <v>0.36975740912241206</v>
      </c>
      <c r="N561" s="15">
        <v>-4.4900000000000002E-4</v>
      </c>
      <c r="O561" s="8">
        <f>(I561 - MAX(I482:I561)) / MAX(I482:I561)</f>
        <v>-0.49929557170759825</v>
      </c>
      <c r="P561" s="15">
        <v>2.6200000000000001E-2</v>
      </c>
      <c r="Q561">
        <f t="shared" si="120"/>
        <v>1.9079329790492372</v>
      </c>
      <c r="R561">
        <f t="shared" si="121"/>
        <v>1.4847344938441823E-2</v>
      </c>
      <c r="S561" s="15">
        <f t="shared" si="122"/>
        <v>0.15889955724192362</v>
      </c>
    </row>
    <row r="562" spans="1:19" x14ac:dyDescent="0.3">
      <c r="A562" s="2">
        <v>44440</v>
      </c>
      <c r="B562">
        <v>2021</v>
      </c>
      <c r="C562">
        <v>9</v>
      </c>
      <c r="D562" s="5" t="s">
        <v>9</v>
      </c>
      <c r="E562" t="s">
        <v>40</v>
      </c>
      <c r="F562" t="s">
        <v>11</v>
      </c>
      <c r="G562" t="s">
        <v>16</v>
      </c>
      <c r="H562" t="s">
        <v>22</v>
      </c>
      <c r="I562">
        <v>3.1364999999999998</v>
      </c>
      <c r="J562" s="8">
        <f t="shared" si="117"/>
        <v>2.8776978417265858E-3</v>
      </c>
      <c r="K562" s="8">
        <f t="shared" si="118"/>
        <v>-0.48676201073438918</v>
      </c>
      <c r="L562">
        <f t="shared" si="110"/>
        <v>3.179697841726586E-3</v>
      </c>
      <c r="M562">
        <f t="shared" si="119"/>
        <v>0.47977274257304831</v>
      </c>
      <c r="N562" s="15">
        <v>-3.0200000000000002E-4</v>
      </c>
      <c r="O562" s="8">
        <f>(I562 - MAX(I482:I562)) / MAX(I482:I562)</f>
        <v>-0.49785469565495821</v>
      </c>
      <c r="P562" s="15">
        <v>-3.5299999999999998E-2</v>
      </c>
      <c r="Q562">
        <f t="shared" si="120"/>
        <v>1.721918214925976</v>
      </c>
      <c r="R562">
        <f t="shared" si="121"/>
        <v>3.2754700045963862E-2</v>
      </c>
      <c r="S562" s="15">
        <f t="shared" si="122"/>
        <v>0.14747486760720099</v>
      </c>
    </row>
    <row r="563" spans="1:19" x14ac:dyDescent="0.3">
      <c r="A563" s="2">
        <v>44470</v>
      </c>
      <c r="B563">
        <v>2021</v>
      </c>
      <c r="C563">
        <v>10</v>
      </c>
      <c r="D563" s="5" t="s">
        <v>9</v>
      </c>
      <c r="E563" t="s">
        <v>40</v>
      </c>
      <c r="F563" t="s">
        <v>11</v>
      </c>
      <c r="G563" t="s">
        <v>16</v>
      </c>
      <c r="H563" t="s">
        <v>22</v>
      </c>
      <c r="I563">
        <v>3.2765</v>
      </c>
      <c r="J563" s="8">
        <f t="shared" si="117"/>
        <v>4.4635740475051852E-2</v>
      </c>
      <c r="K563" s="8">
        <f t="shared" si="118"/>
        <v>-0.46385325304359193</v>
      </c>
      <c r="L563">
        <f t="shared" si="110"/>
        <v>4.4805740475051856E-2</v>
      </c>
      <c r="M563">
        <f t="shared" si="119"/>
        <v>0.46494981083421427</v>
      </c>
      <c r="N563" s="15">
        <v>-1.7000000000000001E-4</v>
      </c>
      <c r="O563" s="8">
        <f>(I563 - MAX(I482:I563)) / MAX(I482:I563)</f>
        <v>-0.47544106816944703</v>
      </c>
      <c r="P563" s="15">
        <v>0.05</v>
      </c>
      <c r="Q563">
        <f t="shared" si="120"/>
        <v>2.1837885470091241</v>
      </c>
      <c r="R563">
        <f t="shared" si="121"/>
        <v>-1.9866346205220514E-3</v>
      </c>
      <c r="S563" s="15">
        <f t="shared" si="122"/>
        <v>0.14766288656317336</v>
      </c>
    </row>
    <row r="564" spans="1:19" x14ac:dyDescent="0.3">
      <c r="A564" s="2">
        <v>44501</v>
      </c>
      <c r="B564">
        <v>2021</v>
      </c>
      <c r="C564">
        <v>11</v>
      </c>
      <c r="D564" s="5" t="s">
        <v>9</v>
      </c>
      <c r="E564" t="s">
        <v>40</v>
      </c>
      <c r="F564" t="s">
        <v>11</v>
      </c>
      <c r="G564" t="s">
        <v>16</v>
      </c>
      <c r="H564" t="s">
        <v>22</v>
      </c>
      <c r="I564">
        <v>2.75</v>
      </c>
      <c r="J564" s="8">
        <f t="shared" si="117"/>
        <v>-0.16068976041507704</v>
      </c>
      <c r="K564" s="8">
        <f t="shared" si="118"/>
        <v>-0.55000654535934013</v>
      </c>
      <c r="L564">
        <f t="shared" si="110"/>
        <v>-0.16042876041507703</v>
      </c>
      <c r="M564">
        <f t="shared" si="119"/>
        <v>0.17015788252985781</v>
      </c>
      <c r="N564" s="15">
        <v>-2.61E-4</v>
      </c>
      <c r="O564" s="8">
        <f>(I564 - MAX(I482:I564)) / MAX(I482:I564)</f>
        <v>-0.55973231724888728</v>
      </c>
      <c r="P564" s="15">
        <v>-4.41E-2</v>
      </c>
      <c r="Q564">
        <f t="shared" si="120"/>
        <v>1.4638094581816383</v>
      </c>
      <c r="R564">
        <f t="shared" si="121"/>
        <v>-4.2117232014978467E-3</v>
      </c>
      <c r="S564" s="15">
        <f t="shared" si="122"/>
        <v>9.2267185558717962E-2</v>
      </c>
    </row>
    <row r="565" spans="1:19" x14ac:dyDescent="0.3">
      <c r="A565" s="2">
        <v>44531</v>
      </c>
      <c r="B565">
        <v>2021</v>
      </c>
      <c r="C565">
        <v>12</v>
      </c>
      <c r="D565" s="5" t="s">
        <v>9</v>
      </c>
      <c r="E565" t="s">
        <v>40</v>
      </c>
      <c r="F565" t="s">
        <v>11</v>
      </c>
      <c r="G565" t="s">
        <v>16</v>
      </c>
      <c r="H565" t="s">
        <v>22</v>
      </c>
      <c r="I565">
        <v>2.9405000000000001</v>
      </c>
      <c r="J565" s="8">
        <f t="shared" si="117"/>
        <v>6.9272727272727319E-2</v>
      </c>
      <c r="K565" s="8">
        <f t="shared" si="118"/>
        <v>-0.5188342715015053</v>
      </c>
      <c r="L565">
        <f t="shared" si="110"/>
        <v>6.959272727272732E-2</v>
      </c>
      <c r="M565">
        <f t="shared" si="119"/>
        <v>0.18585060424897845</v>
      </c>
      <c r="N565" s="15">
        <v>-3.2000000000000003E-4</v>
      </c>
      <c r="O565" s="8">
        <f>(I565 - MAX(I482:I565)) / MAX(I482:I565)</f>
        <v>-0.52923377413467387</v>
      </c>
      <c r="P565" s="15">
        <v>5.9800000000000013E-2</v>
      </c>
      <c r="Q565">
        <f t="shared" si="120"/>
        <v>1.4169978542117332</v>
      </c>
      <c r="R565">
        <f t="shared" si="121"/>
        <v>-6.3431691230380581E-3</v>
      </c>
      <c r="S565" s="15">
        <f t="shared" si="122"/>
        <v>9.3093307702854122E-2</v>
      </c>
    </row>
    <row r="566" spans="1:19" x14ac:dyDescent="0.3">
      <c r="A566" s="2">
        <v>44562</v>
      </c>
      <c r="B566">
        <v>2022</v>
      </c>
      <c r="C566">
        <v>1</v>
      </c>
      <c r="D566" s="5" t="s">
        <v>9</v>
      </c>
      <c r="E566" t="s">
        <v>40</v>
      </c>
      <c r="F566" t="s">
        <v>11</v>
      </c>
      <c r="G566" t="s">
        <v>16</v>
      </c>
      <c r="H566" t="s">
        <v>22</v>
      </c>
      <c r="I566">
        <v>3.0945</v>
      </c>
      <c r="J566" s="8">
        <f t="shared" si="117"/>
        <v>5.2372045570481182E-2</v>
      </c>
      <c r="K566" s="8">
        <f t="shared" si="118"/>
        <v>-0.49363463804162833</v>
      </c>
      <c r="L566">
        <f t="shared" si="110"/>
        <v>5.2468045570481181E-2</v>
      </c>
      <c r="M566">
        <f t="shared" si="119"/>
        <v>0.28157946126037958</v>
      </c>
      <c r="N566" s="15">
        <v>-9.6000000000000002E-5</v>
      </c>
      <c r="O566" s="8">
        <f>(I566 - MAX(I482:I566)) / MAX(I482:I566)</f>
        <v>-0.50457878390061162</v>
      </c>
      <c r="P566" s="15">
        <v>-3.0499999999999999E-2</v>
      </c>
      <c r="Q566">
        <f t="shared" si="120"/>
        <v>1.1125428591007993</v>
      </c>
      <c r="R566">
        <f t="shared" si="121"/>
        <v>7.6369459797478063E-3</v>
      </c>
      <c r="S566" s="15">
        <f t="shared" si="122"/>
        <v>9.1177704624784167E-2</v>
      </c>
    </row>
    <row r="567" spans="1:19" x14ac:dyDescent="0.3">
      <c r="A567" s="2">
        <v>44593</v>
      </c>
      <c r="B567">
        <v>2022</v>
      </c>
      <c r="C567">
        <v>2</v>
      </c>
      <c r="D567" s="5" t="s">
        <v>9</v>
      </c>
      <c r="E567" t="s">
        <v>40</v>
      </c>
      <c r="F567" t="s">
        <v>11</v>
      </c>
      <c r="G567" t="s">
        <v>16</v>
      </c>
      <c r="H567" t="s">
        <v>22</v>
      </c>
      <c r="I567">
        <v>2.9845000000000002</v>
      </c>
      <c r="J567" s="8">
        <f t="shared" si="117"/>
        <v>-3.5546938116012242E-2</v>
      </c>
      <c r="K567" s="8">
        <f t="shared" si="118"/>
        <v>-0.51163437622725472</v>
      </c>
      <c r="L567">
        <f t="shared" si="110"/>
        <v>-3.5671938116012242E-2</v>
      </c>
      <c r="M567">
        <f t="shared" si="119"/>
        <v>8.1412816626571127E-2</v>
      </c>
      <c r="N567" s="15">
        <v>1.25E-4</v>
      </c>
      <c r="O567" s="8">
        <f>(I567 - MAX(I482:I567)) / MAX(I482:I567)</f>
        <v>-0.52218949121065605</v>
      </c>
      <c r="P567" s="15">
        <v>-0.06</v>
      </c>
      <c r="Q567">
        <f t="shared" si="120"/>
        <v>0.77522430497705497</v>
      </c>
      <c r="R567">
        <f t="shared" si="121"/>
        <v>2.3366291480374397E-4</v>
      </c>
      <c r="S567" s="15">
        <f t="shared" si="122"/>
        <v>7.3929869302126958E-2</v>
      </c>
    </row>
    <row r="568" spans="1:19" x14ac:dyDescent="0.3">
      <c r="A568" s="2">
        <v>44621</v>
      </c>
      <c r="B568">
        <v>2022</v>
      </c>
      <c r="C568">
        <v>3</v>
      </c>
      <c r="D568" s="5" t="s">
        <v>9</v>
      </c>
      <c r="E568" t="s">
        <v>40</v>
      </c>
      <c r="F568" t="s">
        <v>11</v>
      </c>
      <c r="G568" t="s">
        <v>16</v>
      </c>
      <c r="H568" t="s">
        <v>22</v>
      </c>
      <c r="I568">
        <v>3.1</v>
      </c>
      <c r="J568" s="8">
        <f t="shared" si="117"/>
        <v>3.8699949740324986E-2</v>
      </c>
      <c r="K568" s="8">
        <f t="shared" si="118"/>
        <v>-0.49273465113234693</v>
      </c>
      <c r="L568">
        <f t="shared" si="110"/>
        <v>3.8464949740324987E-2</v>
      </c>
      <c r="M568">
        <f t="shared" si="119"/>
        <v>0.12367884388513457</v>
      </c>
      <c r="N568" s="15">
        <v>2.3499999999999999E-4</v>
      </c>
      <c r="O568" s="8">
        <f>(I568 - MAX(I482:I568)) / MAX(I482:I568)</f>
        <v>-0.50369824853510936</v>
      </c>
      <c r="P568" s="15">
        <v>-5.5000000000000014E-3</v>
      </c>
      <c r="Q568">
        <f t="shared" si="120"/>
        <v>1.0711385920878929</v>
      </c>
      <c r="R568">
        <f t="shared" si="121"/>
        <v>8.70356092994342E-3</v>
      </c>
      <c r="S568" s="15">
        <f t="shared" si="122"/>
        <v>7.4494736612626553E-2</v>
      </c>
    </row>
    <row r="569" spans="1:19" x14ac:dyDescent="0.3">
      <c r="A569" s="2">
        <v>44652</v>
      </c>
      <c r="B569">
        <v>2022</v>
      </c>
      <c r="C569">
        <v>4</v>
      </c>
      <c r="D569" s="5" t="s">
        <v>9</v>
      </c>
      <c r="E569" t="s">
        <v>40</v>
      </c>
      <c r="F569" t="s">
        <v>11</v>
      </c>
      <c r="G569" t="s">
        <v>16</v>
      </c>
      <c r="H569" t="s">
        <v>22</v>
      </c>
      <c r="I569">
        <v>2.8165</v>
      </c>
      <c r="J569" s="8">
        <f t="shared" si="117"/>
        <v>-9.1451612903225829E-2</v>
      </c>
      <c r="K569" s="8">
        <f t="shared" si="118"/>
        <v>-0.5391248854562114</v>
      </c>
      <c r="L569">
        <f t="shared" si="110"/>
        <v>-9.2073612903225827E-2</v>
      </c>
      <c r="M569">
        <f t="shared" si="119"/>
        <v>-0.11896092230355511</v>
      </c>
      <c r="N569" s="15">
        <v>6.2200000000000005E-4</v>
      </c>
      <c r="O569" s="8">
        <f>(I569 - MAX(I482:I569)) / MAX(I482:I569)</f>
        <v>-0.54908584419326956</v>
      </c>
      <c r="P569" s="15">
        <v>-2.5499999999999998E-2</v>
      </c>
      <c r="Q569">
        <f t="shared" si="120"/>
        <v>1.0706884711559734</v>
      </c>
      <c r="R569">
        <f t="shared" si="121"/>
        <v>-5.3189039106782184E-3</v>
      </c>
      <c r="S569" s="15">
        <f t="shared" si="122"/>
        <v>7.0873085555750434E-2</v>
      </c>
    </row>
    <row r="570" spans="1:19" x14ac:dyDescent="0.3">
      <c r="A570" s="2">
        <v>44682</v>
      </c>
      <c r="B570">
        <v>2022</v>
      </c>
      <c r="C570">
        <v>5</v>
      </c>
      <c r="D570" s="5" t="s">
        <v>9</v>
      </c>
      <c r="E570" t="s">
        <v>40</v>
      </c>
      <c r="F570" t="s">
        <v>11</v>
      </c>
      <c r="G570" t="s">
        <v>16</v>
      </c>
      <c r="H570" t="s">
        <v>22</v>
      </c>
      <c r="I570">
        <v>3.0145</v>
      </c>
      <c r="J570" s="8">
        <f t="shared" si="117"/>
        <v>7.0300017752529725E-2</v>
      </c>
      <c r="K570" s="8">
        <f t="shared" si="118"/>
        <v>-0.50672535672208396</v>
      </c>
      <c r="L570">
        <f t="shared" si="110"/>
        <v>6.9506017752529722E-2</v>
      </c>
      <c r="M570">
        <f t="shared" si="119"/>
        <v>-0.11307061124545577</v>
      </c>
      <c r="N570" s="15">
        <v>7.94E-4</v>
      </c>
      <c r="O570" s="8">
        <f>(I570 - MAX(I482:I570)) / MAX(I482:I570)</f>
        <v>-0.51738657103518937</v>
      </c>
      <c r="P570" s="15">
        <v>-3.5999999999999999E-3</v>
      </c>
      <c r="Q570">
        <f t="shared" si="120"/>
        <v>1.0024261978494013</v>
      </c>
      <c r="R570">
        <f t="shared" si="121"/>
        <v>-3.4137502141238906E-3</v>
      </c>
      <c r="S570" s="15">
        <f t="shared" si="122"/>
        <v>7.1387021437942344E-2</v>
      </c>
    </row>
    <row r="571" spans="1:19" x14ac:dyDescent="0.3">
      <c r="A571" s="2">
        <v>44713</v>
      </c>
      <c r="B571">
        <v>2022</v>
      </c>
      <c r="C571">
        <v>6</v>
      </c>
      <c r="D571" s="5" t="s">
        <v>9</v>
      </c>
      <c r="E571" t="s">
        <v>40</v>
      </c>
      <c r="F571" t="s">
        <v>11</v>
      </c>
      <c r="G571" t="s">
        <v>16</v>
      </c>
      <c r="H571" t="s">
        <v>22</v>
      </c>
      <c r="I571">
        <v>2.6880000000000002</v>
      </c>
      <c r="J571" s="8">
        <f t="shared" si="117"/>
        <v>-0.10830983579366389</v>
      </c>
      <c r="K571" s="8">
        <f t="shared" si="118"/>
        <v>-0.56015185233669318</v>
      </c>
      <c r="L571">
        <f t="shared" si="110"/>
        <v>-0.10951383579366389</v>
      </c>
      <c r="M571">
        <f t="shared" si="119"/>
        <v>-0.16144530629801768</v>
      </c>
      <c r="N571" s="15">
        <v>1.204E-3</v>
      </c>
      <c r="O571" s="8">
        <f>(I571 - MAX(I482:I571)) / MAX(I482:I571)</f>
        <v>-0.56965835227818507</v>
      </c>
      <c r="P571" s="15">
        <v>-8.8200000000000001E-2</v>
      </c>
      <c r="Q571">
        <f t="shared" si="120"/>
        <v>1.1166405372904527</v>
      </c>
      <c r="R571">
        <f t="shared" si="121"/>
        <v>1.8572569125846553E-3</v>
      </c>
      <c r="S571" s="15">
        <f t="shared" si="122"/>
        <v>7.5820650792907271E-2</v>
      </c>
    </row>
    <row r="572" spans="1:19" x14ac:dyDescent="0.3">
      <c r="A572" s="2">
        <v>44743</v>
      </c>
      <c r="B572">
        <v>2022</v>
      </c>
      <c r="C572">
        <v>7</v>
      </c>
      <c r="D572" s="5" t="s">
        <v>9</v>
      </c>
      <c r="E572" t="s">
        <v>40</v>
      </c>
      <c r="F572" t="s">
        <v>11</v>
      </c>
      <c r="G572" t="s">
        <v>16</v>
      </c>
      <c r="H572" t="s">
        <v>22</v>
      </c>
      <c r="I572">
        <v>2.44</v>
      </c>
      <c r="J572" s="8">
        <f t="shared" si="117"/>
        <v>-9.2261904761904837E-2</v>
      </c>
      <c r="K572" s="8">
        <f t="shared" si="118"/>
        <v>-0.6007330802461055</v>
      </c>
      <c r="L572">
        <f t="shared" si="110"/>
        <v>-9.3163904761904837E-2</v>
      </c>
      <c r="M572">
        <f t="shared" si="119"/>
        <v>-0.21044418667352199</v>
      </c>
      <c r="N572" s="15">
        <v>9.0200000000000002E-4</v>
      </c>
      <c r="O572" s="8">
        <f>(I572 - MAX(I482:I572)) / MAX(I482:I572)</f>
        <v>-0.60936249239537643</v>
      </c>
      <c r="P572" s="15">
        <v>7.3300000000000004E-2</v>
      </c>
      <c r="Q572">
        <f t="shared" si="120"/>
        <v>0.63136365676889872</v>
      </c>
      <c r="R572">
        <f t="shared" si="121"/>
        <v>-1.2111053681950945E-2</v>
      </c>
      <c r="S572" s="15">
        <f t="shared" si="122"/>
        <v>7.8972011099625969E-2</v>
      </c>
    </row>
    <row r="573" spans="1:19" x14ac:dyDescent="0.3">
      <c r="A573" s="2">
        <v>44774</v>
      </c>
      <c r="B573">
        <v>2022</v>
      </c>
      <c r="C573">
        <v>8</v>
      </c>
      <c r="D573" s="5" t="s">
        <v>9</v>
      </c>
      <c r="E573" t="s">
        <v>40</v>
      </c>
      <c r="F573" t="s">
        <v>11</v>
      </c>
      <c r="G573" t="s">
        <v>16</v>
      </c>
      <c r="H573" t="s">
        <v>22</v>
      </c>
      <c r="I573">
        <v>2.4169999999999998</v>
      </c>
      <c r="J573" s="8">
        <f t="shared" si="117"/>
        <v>-9.4262295081967758E-3</v>
      </c>
      <c r="K573" s="8">
        <f t="shared" si="118"/>
        <v>-0.60449666186673645</v>
      </c>
      <c r="L573">
        <f t="shared" si="110"/>
        <v>-1.0288229508196776E-2</v>
      </c>
      <c r="M573">
        <f t="shared" si="119"/>
        <v>-0.23692839557944964</v>
      </c>
      <c r="N573" s="15">
        <v>8.6200000000000003E-4</v>
      </c>
      <c r="O573" s="8">
        <f>(I573 - MAX(I482:I573)) / MAX(I482:I573)</f>
        <v>-0.61304473119656755</v>
      </c>
      <c r="P573" s="15">
        <v>-5.1499999999999997E-2</v>
      </c>
      <c r="Q573">
        <f t="shared" si="120"/>
        <v>0.57190931553032354</v>
      </c>
      <c r="R573">
        <f t="shared" si="121"/>
        <v>-1.0744374843664362E-2</v>
      </c>
      <c r="S573" s="15">
        <f t="shared" si="122"/>
        <v>7.8477684611403573E-2</v>
      </c>
    </row>
    <row r="574" spans="1:19" x14ac:dyDescent="0.3">
      <c r="A574" s="2">
        <v>44805</v>
      </c>
      <c r="B574">
        <v>2022</v>
      </c>
      <c r="C574">
        <v>9</v>
      </c>
      <c r="D574" s="5" t="s">
        <v>9</v>
      </c>
      <c r="E574" t="s">
        <v>40</v>
      </c>
      <c r="F574" t="s">
        <v>11</v>
      </c>
      <c r="G574" t="s">
        <v>16</v>
      </c>
      <c r="H574" t="s">
        <v>22</v>
      </c>
      <c r="I574">
        <v>2.3975</v>
      </c>
      <c r="J574" s="8">
        <f t="shared" si="117"/>
        <v>-8.0678527099709782E-3</v>
      </c>
      <c r="K574" s="8">
        <f t="shared" si="118"/>
        <v>-0.60768752454509745</v>
      </c>
      <c r="L574">
        <f t="shared" si="110"/>
        <v>-9.563852709970979E-3</v>
      </c>
      <c r="M574">
        <f t="shared" si="119"/>
        <v>-0.2511167284841499</v>
      </c>
      <c r="N574" s="15">
        <v>1.4959999999999999E-3</v>
      </c>
      <c r="O574" s="8">
        <f>(I574 - MAX(I482:I574)) / MAX(I482:I574)</f>
        <v>-0.61616662931062083</v>
      </c>
      <c r="P574" s="15">
        <v>-5.6599999999999998E-2</v>
      </c>
      <c r="Q574">
        <f t="shared" si="120"/>
        <v>0.54583719539388331</v>
      </c>
      <c r="R574">
        <f t="shared" si="121"/>
        <v>-1.1113520746861087E-2</v>
      </c>
      <c r="S574" s="15">
        <f t="shared" si="122"/>
        <v>7.8272580916429635E-2</v>
      </c>
    </row>
    <row r="575" spans="1:19" x14ac:dyDescent="0.3">
      <c r="A575" s="2">
        <v>44835</v>
      </c>
      <c r="B575">
        <v>2022</v>
      </c>
      <c r="C575">
        <v>10</v>
      </c>
      <c r="D575" s="5" t="s">
        <v>9</v>
      </c>
      <c r="E575" t="s">
        <v>40</v>
      </c>
      <c r="F575" t="s">
        <v>11</v>
      </c>
      <c r="G575" t="s">
        <v>16</v>
      </c>
      <c r="H575" t="s">
        <v>22</v>
      </c>
      <c r="I575">
        <v>2.6219999999999999</v>
      </c>
      <c r="J575" s="8">
        <f t="shared" si="117"/>
        <v>9.3639207507820621E-2</v>
      </c>
      <c r="K575" s="8">
        <f t="shared" si="118"/>
        <v>-0.57095169524806899</v>
      </c>
      <c r="L575">
        <f t="shared" si="110"/>
        <v>9.1817207507820617E-2</v>
      </c>
      <c r="M575">
        <f t="shared" si="119"/>
        <v>-0.1895239496599081</v>
      </c>
      <c r="N575" s="15">
        <v>1.8220000000000001E-3</v>
      </c>
      <c r="O575" s="8">
        <f>(I575 - MAX(I482:I575)) / MAX(I482:I575)</f>
        <v>-0.58022477666421191</v>
      </c>
      <c r="P575" s="15">
        <v>9.0200000000000002E-2</v>
      </c>
      <c r="Q575">
        <f t="shared" si="120"/>
        <v>0.6534881533075827</v>
      </c>
      <c r="R575">
        <f t="shared" si="121"/>
        <v>-7.5919300793044139E-3</v>
      </c>
      <c r="S575" s="15">
        <f t="shared" si="122"/>
        <v>8.3039279337809094E-2</v>
      </c>
    </row>
    <row r="576" spans="1:19" x14ac:dyDescent="0.3">
      <c r="A576" s="2">
        <v>44866</v>
      </c>
      <c r="B576">
        <v>2022</v>
      </c>
      <c r="C576">
        <v>11</v>
      </c>
      <c r="D576" s="5" t="s">
        <v>9</v>
      </c>
      <c r="E576" t="s">
        <v>40</v>
      </c>
      <c r="F576" t="s">
        <v>11</v>
      </c>
      <c r="G576" t="s">
        <v>16</v>
      </c>
      <c r="H576" t="s">
        <v>22</v>
      </c>
      <c r="I576">
        <v>2.8504999999999998</v>
      </c>
      <c r="J576" s="8">
        <f t="shared" si="117"/>
        <v>8.7147215865751304E-2</v>
      </c>
      <c r="K576" s="8">
        <f t="shared" si="118"/>
        <v>-0.53356133001701778</v>
      </c>
      <c r="L576">
        <f t="shared" si="110"/>
        <v>8.5425215865751303E-2</v>
      </c>
      <c r="M576">
        <f t="shared" si="119"/>
        <v>6.4313178162332535E-2</v>
      </c>
      <c r="N576" s="15">
        <v>1.722E-3</v>
      </c>
      <c r="O576" s="8">
        <f>(I576 - MAX(I482:I576)) / MAX(I482:I576)</f>
        <v>-0.54364253466107393</v>
      </c>
      <c r="P576" s="15">
        <v>9.6000000000000002E-2</v>
      </c>
      <c r="Q576">
        <f t="shared" si="120"/>
        <v>0.60010344342404065</v>
      </c>
      <c r="R576">
        <f t="shared" si="121"/>
        <v>5.3233980171539554E-3</v>
      </c>
      <c r="S576" s="15">
        <f t="shared" si="122"/>
        <v>7.3855767907045775E-2</v>
      </c>
    </row>
    <row r="577" spans="1:19" x14ac:dyDescent="0.3">
      <c r="A577" s="2">
        <v>44896</v>
      </c>
      <c r="B577">
        <v>2022</v>
      </c>
      <c r="C577">
        <v>12</v>
      </c>
      <c r="D577" s="5" t="s">
        <v>9</v>
      </c>
      <c r="E577" t="s">
        <v>40</v>
      </c>
      <c r="F577" t="s">
        <v>11</v>
      </c>
      <c r="G577" t="s">
        <v>16</v>
      </c>
      <c r="H577" t="s">
        <v>22</v>
      </c>
      <c r="I577">
        <v>2.8025000000000002</v>
      </c>
      <c r="J577" s="8">
        <f t="shared" si="117"/>
        <v>-1.6839151026135625E-2</v>
      </c>
      <c r="K577" s="8">
        <f t="shared" si="118"/>
        <v>-0.541415761225291</v>
      </c>
      <c r="L577">
        <f t="shared" si="110"/>
        <v>-1.8577151026135625E-2</v>
      </c>
      <c r="M577">
        <f t="shared" si="119"/>
        <v>-3.6464389674320932E-2</v>
      </c>
      <c r="N577" s="15">
        <v>1.738E-3</v>
      </c>
      <c r="O577" s="8">
        <f>(I577 - MAX(I482:I577)) / MAX(I482:I577)</f>
        <v>-0.55132720694182058</v>
      </c>
      <c r="P577" s="15">
        <v>-4.3200000000000002E-2</v>
      </c>
      <c r="Q577">
        <f t="shared" si="120"/>
        <v>0.55257461430826693</v>
      </c>
      <c r="R577">
        <f t="shared" si="121"/>
        <v>2.7681850937235622E-3</v>
      </c>
      <c r="S577" s="15">
        <f t="shared" si="122"/>
        <v>7.1236368460217123E-2</v>
      </c>
    </row>
    <row r="578" spans="1:19" x14ac:dyDescent="0.3">
      <c r="A578" s="2">
        <v>44927</v>
      </c>
      <c r="B578">
        <v>2023</v>
      </c>
      <c r="C578">
        <v>1</v>
      </c>
      <c r="D578" s="5" t="s">
        <v>9</v>
      </c>
      <c r="E578" t="s">
        <v>40</v>
      </c>
      <c r="F578" t="s">
        <v>11</v>
      </c>
      <c r="G578" t="s">
        <v>16</v>
      </c>
      <c r="H578" t="s">
        <v>22</v>
      </c>
      <c r="I578">
        <v>3.2029999999999998</v>
      </c>
      <c r="J578" s="8">
        <f t="shared" si="117"/>
        <v>0.14290811775200699</v>
      </c>
      <c r="K578" s="8">
        <f t="shared" si="118"/>
        <v>-0.47588035083126035</v>
      </c>
      <c r="L578">
        <f t="shared" ref="L578:L641" si="123">J578-N578</f>
        <v>0.14108111775200699</v>
      </c>
      <c r="M578">
        <f t="shared" si="119"/>
        <v>5.8713708586836451E-2</v>
      </c>
      <c r="N578" s="15">
        <v>1.8270000000000001E-3</v>
      </c>
      <c r="O578" s="8">
        <f>(I578 - MAX(I482:I578)) / MAX(I482:I578)</f>
        <v>-0.48720822259934043</v>
      </c>
      <c r="P578" s="15">
        <v>9.7500000000000003E-2</v>
      </c>
      <c r="Q578">
        <f t="shared" si="120"/>
        <v>0.75159172061745194</v>
      </c>
      <c r="R578">
        <f t="shared" si="121"/>
        <v>4.1886276063088472E-3</v>
      </c>
      <c r="S578" s="15">
        <f t="shared" si="122"/>
        <v>8.1528353403146389E-2</v>
      </c>
    </row>
    <row r="579" spans="1:19" x14ac:dyDescent="0.3">
      <c r="A579" s="2">
        <v>44958</v>
      </c>
      <c r="B579">
        <v>2023</v>
      </c>
      <c r="C579">
        <v>2</v>
      </c>
      <c r="D579" s="5" t="s">
        <v>9</v>
      </c>
      <c r="E579" t="s">
        <v>40</v>
      </c>
      <c r="F579" t="s">
        <v>11</v>
      </c>
      <c r="G579" t="s">
        <v>16</v>
      </c>
      <c r="H579" t="s">
        <v>22</v>
      </c>
      <c r="I579">
        <v>3.7225000000000001</v>
      </c>
      <c r="J579" s="8">
        <f t="shared" ref="J579:J610" si="124">(I579-I578)/I578</f>
        <v>0.16219169528566979</v>
      </c>
      <c r="K579" s="8">
        <f t="shared" ref="K579:K610" si="125">(K578+1)*(J579+1)-1</f>
        <v>-0.39087249640005195</v>
      </c>
      <c r="L579">
        <f t="shared" si="123"/>
        <v>0.16021669528566979</v>
      </c>
      <c r="M579">
        <f t="shared" si="119"/>
        <v>0.23013106648043485</v>
      </c>
      <c r="N579" s="15">
        <v>1.9750000000000002E-3</v>
      </c>
      <c r="O579" s="8">
        <f>(I579 - MAX(I482:I579)) / MAX(I482:I579)</f>
        <v>-0.40403765489417565</v>
      </c>
      <c r="P579" s="15">
        <v>1.7999999999999999E-2</v>
      </c>
      <c r="Q579">
        <f t="shared" si="120"/>
        <v>0.78772544860905591</v>
      </c>
      <c r="R579">
        <f t="shared" si="121"/>
        <v>1.5485146544146726E-2</v>
      </c>
      <c r="S579" s="15">
        <f t="shared" si="122"/>
        <v>9.1734180393872392E-2</v>
      </c>
    </row>
    <row r="580" spans="1:19" x14ac:dyDescent="0.3">
      <c r="A580" s="2">
        <v>44986</v>
      </c>
      <c r="B580">
        <v>2023</v>
      </c>
      <c r="C580">
        <v>3</v>
      </c>
      <c r="D580" s="5" t="s">
        <v>9</v>
      </c>
      <c r="E580" t="s">
        <v>40</v>
      </c>
      <c r="F580" t="s">
        <v>11</v>
      </c>
      <c r="G580" t="s">
        <v>16</v>
      </c>
      <c r="H580" t="s">
        <v>22</v>
      </c>
      <c r="I580">
        <v>3.4260000000000002</v>
      </c>
      <c r="J580" s="8">
        <f t="shared" si="124"/>
        <v>-7.96507723304231E-2</v>
      </c>
      <c r="K580" s="8">
        <f t="shared" si="125"/>
        <v>-0.43938997250949041</v>
      </c>
      <c r="L580">
        <f t="shared" si="123"/>
        <v>-8.1636772330423102E-2</v>
      </c>
      <c r="M580">
        <f t="shared" si="119"/>
        <v>0.11555502513255118</v>
      </c>
      <c r="N580" s="15">
        <v>1.9859999999999999E-3</v>
      </c>
      <c r="O580" s="8">
        <f>(I580 - MAX(I482:I580)) / MAX(I482:I580)</f>
        <v>-0.45150651596170471</v>
      </c>
      <c r="P580" s="15">
        <v>1.8100000000000002E-2</v>
      </c>
      <c r="Q580">
        <f t="shared" si="120"/>
        <v>0.7790542437525616</v>
      </c>
      <c r="R580">
        <f t="shared" si="121"/>
        <v>4.1201342678891147E-3</v>
      </c>
      <c r="S580" s="15">
        <f t="shared" si="122"/>
        <v>9.6078971163617216E-2</v>
      </c>
    </row>
    <row r="581" spans="1:19" x14ac:dyDescent="0.3">
      <c r="A581" s="2">
        <v>45017</v>
      </c>
      <c r="B581">
        <v>2023</v>
      </c>
      <c r="C581">
        <v>4</v>
      </c>
      <c r="D581" s="5" t="s">
        <v>9</v>
      </c>
      <c r="E581" t="s">
        <v>40</v>
      </c>
      <c r="F581" t="s">
        <v>11</v>
      </c>
      <c r="G581" t="s">
        <v>16</v>
      </c>
      <c r="H581" t="s">
        <v>22</v>
      </c>
      <c r="I581">
        <v>3.1865000000000001</v>
      </c>
      <c r="J581" s="8">
        <f t="shared" si="124"/>
        <v>-6.9906596614127278E-2</v>
      </c>
      <c r="K581" s="8">
        <f t="shared" si="125"/>
        <v>-0.4785803115591043</v>
      </c>
      <c r="L581">
        <f t="shared" si="123"/>
        <v>-7.1872596614127274E-2</v>
      </c>
      <c r="M581">
        <f t="shared" si="119"/>
        <v>0.13581526007765304</v>
      </c>
      <c r="N581" s="15">
        <v>1.9659999999999999E-3</v>
      </c>
      <c r="O581" s="8">
        <f>(I581 - MAX(I482:I581)) / MAX(I482:I581)</f>
        <v>-0.48984982869584703</v>
      </c>
      <c r="P581" s="15">
        <v>1.03E-2</v>
      </c>
      <c r="Q581">
        <f t="shared" si="120"/>
        <v>0.72077269026938851</v>
      </c>
      <c r="R581">
        <f t="shared" si="121"/>
        <v>4.256322063746763E-3</v>
      </c>
      <c r="S581" s="15">
        <f t="shared" si="122"/>
        <v>9.4141305949733745E-2</v>
      </c>
    </row>
    <row r="582" spans="1:19" x14ac:dyDescent="0.3">
      <c r="A582" s="2">
        <v>45047</v>
      </c>
      <c r="B582">
        <v>2023</v>
      </c>
      <c r="C582">
        <v>5</v>
      </c>
      <c r="D582" s="5" t="s">
        <v>9</v>
      </c>
      <c r="E582" t="s">
        <v>40</v>
      </c>
      <c r="F582" t="s">
        <v>11</v>
      </c>
      <c r="G582" t="s">
        <v>16</v>
      </c>
      <c r="H582" t="s">
        <v>22</v>
      </c>
      <c r="I582">
        <v>3.0449999999999999</v>
      </c>
      <c r="J582" s="8">
        <f t="shared" si="124"/>
        <v>-4.4406088184528535E-2</v>
      </c>
      <c r="K582" s="8">
        <f t="shared" si="125"/>
        <v>-0.50173452022516007</v>
      </c>
      <c r="L582">
        <f t="shared" si="123"/>
        <v>-4.6358088184528537E-2</v>
      </c>
      <c r="M582">
        <f t="shared" si="119"/>
        <v>3.3387499042073741E-2</v>
      </c>
      <c r="N582" s="15">
        <v>1.952E-3</v>
      </c>
      <c r="O582" s="8">
        <f>(I582 - MAX(I482:I582)) / MAX(I482:I582)</f>
        <v>-0.51250360219013158</v>
      </c>
      <c r="P582" s="15">
        <v>-3.2400000000000012E-2</v>
      </c>
      <c r="Q582">
        <f t="shared" si="120"/>
        <v>0.76461763048815667</v>
      </c>
      <c r="R582">
        <f t="shared" si="121"/>
        <v>-4.0090058982199415E-3</v>
      </c>
      <c r="S582" s="15">
        <f t="shared" si="122"/>
        <v>9.3762152901795626E-2</v>
      </c>
    </row>
    <row r="583" spans="1:19" x14ac:dyDescent="0.3">
      <c r="A583" s="2">
        <v>45078</v>
      </c>
      <c r="B583">
        <v>2023</v>
      </c>
      <c r="C583">
        <v>6</v>
      </c>
      <c r="D583" s="5" t="s">
        <v>9</v>
      </c>
      <c r="E583" t="s">
        <v>40</v>
      </c>
      <c r="F583" t="s">
        <v>11</v>
      </c>
      <c r="G583" t="s">
        <v>16</v>
      </c>
      <c r="H583" t="s">
        <v>22</v>
      </c>
      <c r="I583">
        <v>3.3849999999999998</v>
      </c>
      <c r="J583" s="8">
        <f t="shared" si="124"/>
        <v>0.11165845648604265</v>
      </c>
      <c r="K583" s="8">
        <f t="shared" si="125"/>
        <v>-0.44609896583322395</v>
      </c>
      <c r="L583">
        <f t="shared" si="123"/>
        <v>0.10967845648604266</v>
      </c>
      <c r="M583">
        <f t="shared" si="119"/>
        <v>0.23483298284401713</v>
      </c>
      <c r="N583" s="15">
        <v>1.98E-3</v>
      </c>
      <c r="O583" s="8">
        <f>(I583 - MAX(I482:I583)) / MAX(I482:I583)</f>
        <v>-0.45807050686817591</v>
      </c>
      <c r="P583" s="15">
        <v>4.2900000000000001E-2</v>
      </c>
      <c r="Q583">
        <f t="shared" si="120"/>
        <v>0.70210700156634998</v>
      </c>
      <c r="R583">
        <f t="shared" si="121"/>
        <v>7.2155849648637312E-3</v>
      </c>
      <c r="S583" s="15">
        <f t="shared" si="122"/>
        <v>9.111372639270976E-2</v>
      </c>
    </row>
    <row r="584" spans="1:19" x14ac:dyDescent="0.3">
      <c r="A584" s="2">
        <v>45108</v>
      </c>
      <c r="B584">
        <v>2023</v>
      </c>
      <c r="C584">
        <v>7</v>
      </c>
      <c r="D584" s="5" t="s">
        <v>9</v>
      </c>
      <c r="E584" t="s">
        <v>40</v>
      </c>
      <c r="F584" t="s">
        <v>11</v>
      </c>
      <c r="G584" t="s">
        <v>16</v>
      </c>
      <c r="H584" t="s">
        <v>22</v>
      </c>
      <c r="I584">
        <v>3.6835</v>
      </c>
      <c r="J584" s="8">
        <f t="shared" si="124"/>
        <v>8.8183161004431382E-2</v>
      </c>
      <c r="K584" s="8">
        <f t="shared" si="125"/>
        <v>-0.39725422175677405</v>
      </c>
      <c r="L584">
        <f t="shared" si="123"/>
        <v>8.6136161004431389E-2</v>
      </c>
      <c r="M584">
        <f t="shared" si="119"/>
        <v>0.42733507262604475</v>
      </c>
      <c r="N584" s="15">
        <v>2.0470000000000002E-3</v>
      </c>
      <c r="O584" s="8">
        <f>(I584 - MAX(I482:I584)) / MAX(I482:I584)</f>
        <v>-0.41028145112228237</v>
      </c>
      <c r="P584" s="15">
        <v>1.6400000000000001E-2</v>
      </c>
      <c r="Q584">
        <f t="shared" si="120"/>
        <v>0.94384093561312121</v>
      </c>
      <c r="R584">
        <f t="shared" si="121"/>
        <v>2.1840232949131722E-2</v>
      </c>
      <c r="S584" s="15">
        <f t="shared" si="122"/>
        <v>8.5034397178598606E-2</v>
      </c>
    </row>
    <row r="585" spans="1:19" x14ac:dyDescent="0.3">
      <c r="A585" s="2">
        <v>45139</v>
      </c>
      <c r="B585">
        <v>2023</v>
      </c>
      <c r="C585">
        <v>8</v>
      </c>
      <c r="D585" s="5" t="s">
        <v>9</v>
      </c>
      <c r="E585" t="s">
        <v>40</v>
      </c>
      <c r="F585" t="s">
        <v>11</v>
      </c>
      <c r="G585" t="s">
        <v>16</v>
      </c>
      <c r="H585" t="s">
        <v>22</v>
      </c>
      <c r="I585">
        <v>3.6019999999999999</v>
      </c>
      <c r="J585" s="8">
        <f t="shared" si="124"/>
        <v>-2.2125695669879226E-2</v>
      </c>
      <c r="K585" s="8">
        <f t="shared" si="125"/>
        <v>-0.41059039141248821</v>
      </c>
      <c r="L585">
        <f t="shared" si="123"/>
        <v>-2.4246695669879227E-2</v>
      </c>
      <c r="M585">
        <f t="shared" si="119"/>
        <v>0.41017566946645767</v>
      </c>
      <c r="N585" s="15">
        <v>2.1210000000000001E-3</v>
      </c>
      <c r="O585" s="8">
        <f>(I585 - MAX(I482:I585)) / MAX(I482:I585)</f>
        <v>-0.42332938426563355</v>
      </c>
      <c r="P585" s="15">
        <v>-3.9E-2</v>
      </c>
      <c r="Q585">
        <f t="shared" si="120"/>
        <v>0.99223750542113309</v>
      </c>
      <c r="R585">
        <f t="shared" si="121"/>
        <v>1.9004149408871487E-2</v>
      </c>
      <c r="S585" s="15">
        <f t="shared" si="122"/>
        <v>8.5755878271154468E-2</v>
      </c>
    </row>
    <row r="586" spans="1:19" x14ac:dyDescent="0.3">
      <c r="A586" s="2">
        <v>45170</v>
      </c>
      <c r="B586">
        <v>2023</v>
      </c>
      <c r="C586">
        <v>9</v>
      </c>
      <c r="D586" s="5" t="s">
        <v>9</v>
      </c>
      <c r="E586" t="s">
        <v>40</v>
      </c>
      <c r="F586" t="s">
        <v>11</v>
      </c>
      <c r="G586" t="s">
        <v>16</v>
      </c>
      <c r="H586" t="s">
        <v>22</v>
      </c>
      <c r="I586">
        <v>3.6185</v>
      </c>
      <c r="J586" s="8">
        <f t="shared" si="124"/>
        <v>4.5807884508606836E-3</v>
      </c>
      <c r="K586" s="8">
        <f t="shared" si="125"/>
        <v>-0.40789043068464426</v>
      </c>
      <c r="L586">
        <f t="shared" si="123"/>
        <v>2.3627884508606836E-3</v>
      </c>
      <c r="M586">
        <f t="shared" si="119"/>
        <v>0.42438335859608323</v>
      </c>
      <c r="N586" s="15">
        <v>2.2179999999999999E-3</v>
      </c>
      <c r="O586" s="8">
        <f>(I586 - MAX(I482:I586)) / MAX(I482:I586)</f>
        <v>-0.42068777816912684</v>
      </c>
      <c r="P586" s="15">
        <v>-2.8500000000000001E-2</v>
      </c>
      <c r="Q586">
        <f t="shared" si="120"/>
        <v>1.0445043874002353</v>
      </c>
      <c r="R586">
        <f t="shared" si="121"/>
        <v>1.6763188614513071E-2</v>
      </c>
      <c r="S586" s="15">
        <f t="shared" si="122"/>
        <v>8.5226861071105359E-2</v>
      </c>
    </row>
    <row r="587" spans="1:19" x14ac:dyDescent="0.3">
      <c r="A587" s="2">
        <v>45200</v>
      </c>
      <c r="B587">
        <v>2023</v>
      </c>
      <c r="C587">
        <v>10</v>
      </c>
      <c r="D587" s="5" t="s">
        <v>9</v>
      </c>
      <c r="E587" t="s">
        <v>40</v>
      </c>
      <c r="F587" t="s">
        <v>11</v>
      </c>
      <c r="G587" t="s">
        <v>16</v>
      </c>
      <c r="H587" t="s">
        <v>22</v>
      </c>
      <c r="I587">
        <v>3.4660000000000002</v>
      </c>
      <c r="J587" s="8">
        <f t="shared" si="124"/>
        <v>-4.2144535028326616E-2</v>
      </c>
      <c r="K587" s="8">
        <f t="shared" si="125"/>
        <v>-0.43284461316926259</v>
      </c>
      <c r="L587">
        <f t="shared" si="123"/>
        <v>-4.4497535028326617E-2</v>
      </c>
      <c r="M587">
        <f t="shared" si="119"/>
        <v>0.28783346809392812</v>
      </c>
      <c r="N587" s="15">
        <v>2.3530000000000001E-3</v>
      </c>
      <c r="O587" s="8">
        <f>(I587 - MAX(I482:I587)) / MAX(I482:I587)</f>
        <v>-0.44510262239441578</v>
      </c>
      <c r="P587" s="15">
        <v>-2.7199999999999998E-2</v>
      </c>
      <c r="Q587">
        <f t="shared" si="120"/>
        <v>1.1408865884158044</v>
      </c>
      <c r="R587">
        <f t="shared" si="121"/>
        <v>1.48251159090714E-2</v>
      </c>
      <c r="S587" s="15">
        <f t="shared" si="122"/>
        <v>8.6193241634601125E-2</v>
      </c>
    </row>
    <row r="588" spans="1:19" x14ac:dyDescent="0.3">
      <c r="A588" s="2">
        <v>45231</v>
      </c>
      <c r="B588">
        <v>2023</v>
      </c>
      <c r="C588">
        <v>11</v>
      </c>
      <c r="D588" s="5" t="s">
        <v>9</v>
      </c>
      <c r="E588" t="s">
        <v>40</v>
      </c>
      <c r="F588" t="s">
        <v>11</v>
      </c>
      <c r="G588" t="s">
        <v>16</v>
      </c>
      <c r="H588" t="s">
        <v>22</v>
      </c>
      <c r="I588">
        <v>3.8010000000000002</v>
      </c>
      <c r="J588" s="8">
        <f t="shared" si="124"/>
        <v>9.6653202538949781E-2</v>
      </c>
      <c r="K588" s="8">
        <f t="shared" si="125"/>
        <v>-0.37802722869485494</v>
      </c>
      <c r="L588">
        <f t="shared" si="123"/>
        <v>9.4485202538949778E-2</v>
      </c>
      <c r="M588">
        <f t="shared" si="119"/>
        <v>0.29438543229692454</v>
      </c>
      <c r="N588" s="15">
        <v>2.1679999999999998E-3</v>
      </c>
      <c r="O588" s="8">
        <f>(I588 - MAX(I482:I588)) / MAX(I482:I588)</f>
        <v>-0.39147001376837115</v>
      </c>
      <c r="P588" s="15">
        <v>7.9100000000000004E-2</v>
      </c>
      <c r="Q588">
        <f t="shared" si="120"/>
        <v>1.2525509372614996</v>
      </c>
      <c r="R588">
        <f t="shared" si="121"/>
        <v>1.6413474545480207E-2</v>
      </c>
      <c r="S588" s="15">
        <f t="shared" si="122"/>
        <v>8.6839550299464593E-2</v>
      </c>
    </row>
    <row r="589" spans="1:19" x14ac:dyDescent="0.3">
      <c r="A589" s="2">
        <v>45261</v>
      </c>
      <c r="B589">
        <v>2023</v>
      </c>
      <c r="C589">
        <v>12</v>
      </c>
      <c r="D589" s="5" t="s">
        <v>9</v>
      </c>
      <c r="E589" t="s">
        <v>40</v>
      </c>
      <c r="F589" t="s">
        <v>11</v>
      </c>
      <c r="G589" t="s">
        <v>16</v>
      </c>
      <c r="H589" t="s">
        <v>22</v>
      </c>
      <c r="I589">
        <v>3.7795000000000001</v>
      </c>
      <c r="J589" s="8">
        <f t="shared" si="124"/>
        <v>-5.6564062088924165E-3</v>
      </c>
      <c r="K589" s="8">
        <f t="shared" si="125"/>
        <v>-0.38154535934022737</v>
      </c>
      <c r="L589">
        <f t="shared" si="123"/>
        <v>-7.4084062088924166E-3</v>
      </c>
      <c r="M589">
        <f t="shared" ref="M589:M620" si="126">(AVERAGE(J578:J589)-AVERAGE(N578:N589))/STDEV(J578:J589)</f>
        <v>0.30673286615363909</v>
      </c>
      <c r="N589" s="15">
        <v>1.7520000000000001E-3</v>
      </c>
      <c r="O589" s="8">
        <f>(I589 - MAX(I482:I589)) / MAX(I482:I589)</f>
        <v>-0.39491210656078896</v>
      </c>
      <c r="P589" s="15">
        <v>3.1800000000000002E-2</v>
      </c>
      <c r="Q589">
        <f t="shared" ref="Q589:Q620" si="127" xml:space="preserve"> _xlfn.COVARIANCE.P(J578:J589, P578:P589) / _xlfn.VAR.P(P578:P589)</f>
        <v>1.2650522937772488</v>
      </c>
      <c r="R589">
        <f t="shared" ref="R589:R620" si="128">AVERAGE(J578:J589)-(AVERAGE(N578:N589)+Q589*(AVERAGE(P578:P589)-AVERAGE(N578:N589)))</f>
        <v>9.3477705531204748E-3</v>
      </c>
      <c r="S589" s="15">
        <f t="shared" ref="S589:S620" si="129">STDEV(J578:J589)</f>
        <v>8.6378181843994539E-2</v>
      </c>
    </row>
    <row r="590" spans="1:19" x14ac:dyDescent="0.3">
      <c r="A590" s="2">
        <v>45292</v>
      </c>
      <c r="B590">
        <v>2024</v>
      </c>
      <c r="C590">
        <v>1</v>
      </c>
      <c r="D590" s="5" t="s">
        <v>9</v>
      </c>
      <c r="E590" t="s">
        <v>40</v>
      </c>
      <c r="F590" t="s">
        <v>11</v>
      </c>
      <c r="G590" t="s">
        <v>16</v>
      </c>
      <c r="H590" t="s">
        <v>22</v>
      </c>
      <c r="I590">
        <v>3.7355</v>
      </c>
      <c r="J590" s="8">
        <f t="shared" si="124"/>
        <v>-1.1641751554438428E-2</v>
      </c>
      <c r="K590" s="8">
        <f t="shared" si="125"/>
        <v>-0.38874525461447795</v>
      </c>
      <c r="L590">
        <f t="shared" si="123"/>
        <v>-1.3453751554438427E-2</v>
      </c>
      <c r="M590">
        <f t="shared" si="126"/>
        <v>0.17241746515529968</v>
      </c>
      <c r="N590" s="15">
        <v>1.812E-3</v>
      </c>
      <c r="O590" s="8">
        <f>(I590 - MAX(I482:I590)) / MAX(I482:I590)</f>
        <v>-0.40195638948480678</v>
      </c>
      <c r="P590" s="15">
        <v>2.8000000000000001E-2</v>
      </c>
      <c r="Q590">
        <f t="shared" si="127"/>
        <v>1.1239076520645062</v>
      </c>
      <c r="R590">
        <f t="shared" si="128"/>
        <v>4.8909151860407236E-3</v>
      </c>
      <c r="S590" s="15">
        <f t="shared" si="129"/>
        <v>7.8977622727177663E-2</v>
      </c>
    </row>
    <row r="591" spans="1:19" x14ac:dyDescent="0.3">
      <c r="A591" s="2">
        <v>45323</v>
      </c>
      <c r="B591">
        <v>2024</v>
      </c>
      <c r="C591">
        <v>2</v>
      </c>
      <c r="D591" s="5" t="s">
        <v>9</v>
      </c>
      <c r="E591" t="s">
        <v>40</v>
      </c>
      <c r="F591" t="s">
        <v>11</v>
      </c>
      <c r="G591" t="s">
        <v>16</v>
      </c>
      <c r="H591" t="s">
        <v>22</v>
      </c>
      <c r="I591">
        <v>3.8454999999999999</v>
      </c>
      <c r="J591" s="8">
        <f t="shared" si="124"/>
        <v>2.9447195823852194E-2</v>
      </c>
      <c r="K591" s="8">
        <f t="shared" si="125"/>
        <v>-0.37074551642885156</v>
      </c>
      <c r="L591">
        <f t="shared" si="123"/>
        <v>2.7504195823852193E-2</v>
      </c>
      <c r="M591">
        <f t="shared" si="126"/>
        <v>3.9613714154748618E-2</v>
      </c>
      <c r="N591" s="15">
        <v>1.9430000000000001E-3</v>
      </c>
      <c r="O591" s="8">
        <f>(I591 - MAX(I482:I591)) / MAX(I482:I591)</f>
        <v>-0.38434568217476228</v>
      </c>
      <c r="P591" s="15">
        <v>4.9299999999999997E-2</v>
      </c>
      <c r="Q591">
        <f t="shared" si="127"/>
        <v>0.99987044629308564</v>
      </c>
      <c r="R591">
        <f t="shared" si="128"/>
        <v>-7.8160759659050543E-3</v>
      </c>
      <c r="S591" s="15">
        <f t="shared" si="129"/>
        <v>6.4567198861192512E-2</v>
      </c>
    </row>
    <row r="592" spans="1:19" x14ac:dyDescent="0.3">
      <c r="A592" s="2">
        <v>45352</v>
      </c>
      <c r="B592">
        <v>2024</v>
      </c>
      <c r="C592">
        <v>3</v>
      </c>
      <c r="D592" s="5" t="s">
        <v>9</v>
      </c>
      <c r="E592" t="s">
        <v>40</v>
      </c>
      <c r="F592" t="s">
        <v>11</v>
      </c>
      <c r="G592" t="s">
        <v>16</v>
      </c>
      <c r="H592" t="s">
        <v>22</v>
      </c>
      <c r="I592">
        <v>4.5214999999999996</v>
      </c>
      <c r="J592" s="8">
        <f t="shared" si="124"/>
        <v>0.17578988428032757</v>
      </c>
      <c r="K592" s="8">
        <f t="shared" si="125"/>
        <v>-0.26012894357900207</v>
      </c>
      <c r="L592">
        <f t="shared" si="123"/>
        <v>0.17383188428032759</v>
      </c>
      <c r="M592">
        <f t="shared" si="126"/>
        <v>0.31601653534056701</v>
      </c>
      <c r="N592" s="15">
        <v>1.9580000000000001E-3</v>
      </c>
      <c r="O592" s="8">
        <f>(I592 - MAX(I482:I592)) / MAX(I482:I592)</f>
        <v>-0.27611988088757972</v>
      </c>
      <c r="P592" s="15">
        <v>4.2199999999999988E-2</v>
      </c>
      <c r="Q592">
        <f t="shared" si="127"/>
        <v>1.2644218917190393</v>
      </c>
      <c r="R592">
        <f t="shared" si="128"/>
        <v>8.1858824631725856E-3</v>
      </c>
      <c r="S592" s="15">
        <f t="shared" si="129"/>
        <v>7.5460612373726754E-2</v>
      </c>
    </row>
    <row r="593" spans="1:19" x14ac:dyDescent="0.3">
      <c r="A593" s="2">
        <v>45383</v>
      </c>
      <c r="B593">
        <v>2024</v>
      </c>
      <c r="C593">
        <v>4</v>
      </c>
      <c r="D593" s="5" t="s">
        <v>9</v>
      </c>
      <c r="E593" t="s">
        <v>40</v>
      </c>
      <c r="F593" t="s">
        <v>11</v>
      </c>
      <c r="G593" t="s">
        <v>16</v>
      </c>
      <c r="H593" t="s">
        <v>22</v>
      </c>
      <c r="I593">
        <v>4.5730000000000004</v>
      </c>
      <c r="J593" s="8">
        <f t="shared" si="124"/>
        <v>1.1390025434037547E-2</v>
      </c>
      <c r="K593" s="8">
        <f t="shared" si="125"/>
        <v>-0.25170179342845866</v>
      </c>
      <c r="L593">
        <f t="shared" si="123"/>
        <v>9.3520254340375471E-3</v>
      </c>
      <c r="M593">
        <f t="shared" si="126"/>
        <v>0.44055063115636767</v>
      </c>
      <c r="N593" s="15">
        <v>2.0379999999999999E-3</v>
      </c>
      <c r="O593" s="8">
        <f>(I593 - MAX(I482:I593)) / MAX(I482:I593)</f>
        <v>-0.26787486791969511</v>
      </c>
      <c r="P593" s="15">
        <v>-3.1899999999999998E-2</v>
      </c>
      <c r="Q593">
        <f t="shared" si="127"/>
        <v>1.1572008274426926</v>
      </c>
      <c r="R593">
        <f t="shared" si="128"/>
        <v>2.0359055980607228E-2</v>
      </c>
      <c r="S593" s="15">
        <f t="shared" si="129"/>
        <v>6.9493759890153939E-2</v>
      </c>
    </row>
    <row r="594" spans="1:19" x14ac:dyDescent="0.3">
      <c r="A594" s="2">
        <v>45413</v>
      </c>
      <c r="B594">
        <v>2024</v>
      </c>
      <c r="C594">
        <v>5</v>
      </c>
      <c r="D594" s="5" t="s">
        <v>9</v>
      </c>
      <c r="E594" t="s">
        <v>40</v>
      </c>
      <c r="F594" t="s">
        <v>11</v>
      </c>
      <c r="G594" t="s">
        <v>16</v>
      </c>
      <c r="H594" t="s">
        <v>22</v>
      </c>
      <c r="I594">
        <v>4.8345000000000002</v>
      </c>
      <c r="J594" s="8">
        <f t="shared" si="124"/>
        <v>5.7183468182812121E-2</v>
      </c>
      <c r="K594" s="8">
        <f t="shared" si="125"/>
        <v>-0.20891150674171965</v>
      </c>
      <c r="L594">
        <f t="shared" si="123"/>
        <v>5.5083468182812123E-2</v>
      </c>
      <c r="M594">
        <f t="shared" si="126"/>
        <v>0.59814912382719498</v>
      </c>
      <c r="N594" s="15">
        <v>2.0999999999999999E-3</v>
      </c>
      <c r="O594" s="8">
        <f>(I594 - MAX(I482:I594)) / MAX(I482:I594)</f>
        <v>-0.22600941372354388</v>
      </c>
      <c r="P594" s="15">
        <v>1.2699999999999999E-2</v>
      </c>
      <c r="Q594">
        <f t="shared" si="127"/>
        <v>1.0754582995779829</v>
      </c>
      <c r="R594">
        <f t="shared" si="128"/>
        <v>2.5508349869219384E-2</v>
      </c>
      <c r="S594" s="15">
        <f t="shared" si="129"/>
        <v>6.5316459149299219E-2</v>
      </c>
    </row>
    <row r="595" spans="1:19" x14ac:dyDescent="0.3">
      <c r="A595" s="2">
        <v>45444</v>
      </c>
      <c r="B595">
        <v>2024</v>
      </c>
      <c r="C595">
        <v>6</v>
      </c>
      <c r="D595" s="5" t="s">
        <v>9</v>
      </c>
      <c r="E595" t="s">
        <v>40</v>
      </c>
      <c r="F595" t="s">
        <v>11</v>
      </c>
      <c r="G595" t="s">
        <v>16</v>
      </c>
      <c r="H595" t="s">
        <v>22</v>
      </c>
      <c r="I595">
        <v>4.3304999999999998</v>
      </c>
      <c r="J595" s="8">
        <f t="shared" si="124"/>
        <v>-0.10425069810735349</v>
      </c>
      <c r="K595" s="8">
        <f t="shared" si="125"/>
        <v>-0.2913830344285897</v>
      </c>
      <c r="L595">
        <f t="shared" si="123"/>
        <v>-0.10632069810735349</v>
      </c>
      <c r="M595">
        <f t="shared" si="126"/>
        <v>0.28720595162208579</v>
      </c>
      <c r="N595" s="15">
        <v>2.0699999999999998E-3</v>
      </c>
      <c r="O595" s="8">
        <f>(I595 - MAX(I482:I595)) / MAX(I482:I595)</f>
        <v>-0.30669847267138423</v>
      </c>
      <c r="P595" s="15">
        <v>-1.7999999999999999E-2</v>
      </c>
      <c r="Q595">
        <f t="shared" si="127"/>
        <v>1.1817473345120157</v>
      </c>
      <c r="R595">
        <f t="shared" si="128"/>
        <v>1.2174434991104648E-2</v>
      </c>
      <c r="S595" s="15">
        <f t="shared" si="129"/>
        <v>7.3358693102299338E-2</v>
      </c>
    </row>
    <row r="596" spans="1:19" x14ac:dyDescent="0.3">
      <c r="A596" s="2">
        <v>45474</v>
      </c>
      <c r="B596">
        <v>2024</v>
      </c>
      <c r="C596">
        <v>7</v>
      </c>
      <c r="D596" s="5" t="s">
        <v>9</v>
      </c>
      <c r="E596" t="s">
        <v>40</v>
      </c>
      <c r="F596" t="s">
        <v>11</v>
      </c>
      <c r="G596" t="s">
        <v>16</v>
      </c>
      <c r="H596" t="s">
        <v>22</v>
      </c>
      <c r="I596">
        <v>4.4550000000000001</v>
      </c>
      <c r="J596" s="8">
        <f t="shared" si="124"/>
        <v>2.8749567024593067E-2</v>
      </c>
      <c r="K596" s="8">
        <f t="shared" si="125"/>
        <v>-0.2710106034821308</v>
      </c>
      <c r="L596">
        <f t="shared" si="123"/>
        <v>2.6700567024593069E-2</v>
      </c>
      <c r="M596">
        <f t="shared" si="126"/>
        <v>0.22853944743132798</v>
      </c>
      <c r="N596" s="15">
        <v>2.049E-3</v>
      </c>
      <c r="O596" s="8">
        <f>(I596 - MAX(I482:I596)) / MAX(I482:I596)</f>
        <v>-0.28676635394319744</v>
      </c>
      <c r="P596" s="15">
        <v>-4.3E-3</v>
      </c>
      <c r="Q596">
        <f t="shared" si="127"/>
        <v>1.1349061538653067</v>
      </c>
      <c r="R596">
        <f t="shared" si="128"/>
        <v>9.5319290455623262E-3</v>
      </c>
      <c r="S596" s="15">
        <f t="shared" si="129"/>
        <v>7.051774771641775E-2</v>
      </c>
    </row>
    <row r="597" spans="1:19" x14ac:dyDescent="0.3">
      <c r="A597" s="2">
        <v>45505</v>
      </c>
      <c r="B597">
        <v>2024</v>
      </c>
      <c r="C597">
        <v>8</v>
      </c>
      <c r="D597" s="5" t="s">
        <v>9</v>
      </c>
      <c r="E597" t="s">
        <v>40</v>
      </c>
      <c r="F597" t="s">
        <v>11</v>
      </c>
      <c r="G597" t="s">
        <v>16</v>
      </c>
      <c r="H597" t="s">
        <v>22</v>
      </c>
      <c r="I597">
        <v>4.4960000000000004</v>
      </c>
      <c r="J597" s="8">
        <f t="shared" si="124"/>
        <v>9.2031425364759532E-3</v>
      </c>
      <c r="K597" s="8">
        <f t="shared" si="125"/>
        <v>-0.26430161015839726</v>
      </c>
      <c r="L597">
        <f t="shared" si="123"/>
        <v>7.3631425364759535E-3</v>
      </c>
      <c r="M597">
        <f t="shared" si="126"/>
        <v>0.26993312109374662</v>
      </c>
      <c r="N597" s="15">
        <v>1.8400000000000001E-3</v>
      </c>
      <c r="O597" s="8">
        <f>(I597 - MAX(I482:I597)) / MAX(I482:I597)</f>
        <v>-0.28020236303672624</v>
      </c>
      <c r="P597" s="15">
        <v>1.7500000000000002E-2</v>
      </c>
      <c r="Q597">
        <f t="shared" si="127"/>
        <v>1.1760440971222912</v>
      </c>
      <c r="R597">
        <f t="shared" si="128"/>
        <v>6.3626737950614586E-3</v>
      </c>
      <c r="S597" s="15">
        <f t="shared" si="129"/>
        <v>6.9462540221446017E-2</v>
      </c>
    </row>
    <row r="598" spans="1:19" x14ac:dyDescent="0.3">
      <c r="A598" s="2">
        <v>45536</v>
      </c>
      <c r="B598">
        <v>2024</v>
      </c>
      <c r="C598">
        <v>9</v>
      </c>
      <c r="D598" s="5" t="s">
        <v>9</v>
      </c>
      <c r="E598" t="s">
        <v>40</v>
      </c>
      <c r="F598" t="s">
        <v>11</v>
      </c>
      <c r="G598" t="s">
        <v>16</v>
      </c>
      <c r="H598" t="s">
        <v>22</v>
      </c>
      <c r="I598">
        <v>4.6005000000000003</v>
      </c>
      <c r="J598" s="8">
        <f t="shared" si="124"/>
        <v>2.3242882562277536E-2</v>
      </c>
      <c r="K598" s="8">
        <f t="shared" si="125"/>
        <v>-0.24720185888205226</v>
      </c>
      <c r="L598">
        <f t="shared" si="123"/>
        <v>2.1436882562277538E-2</v>
      </c>
      <c r="M598">
        <f t="shared" si="126"/>
        <v>0.29360596794499177</v>
      </c>
      <c r="N598" s="15">
        <v>1.8060000000000001E-3</v>
      </c>
      <c r="O598" s="8">
        <f>(I598 - MAX(I482:I598)) / MAX(I482:I598)</f>
        <v>-0.263472191092184</v>
      </c>
      <c r="P598" s="15">
        <v>8.6E-3</v>
      </c>
      <c r="Q598">
        <f t="shared" si="127"/>
        <v>1.2902568315798852</v>
      </c>
      <c r="R598">
        <f t="shared" si="128"/>
        <v>2.7158074969353581E-3</v>
      </c>
      <c r="S598" s="15">
        <f t="shared" si="129"/>
        <v>6.9275663114258076E-2</v>
      </c>
    </row>
    <row r="599" spans="1:19" x14ac:dyDescent="0.3">
      <c r="A599" s="2">
        <v>45566</v>
      </c>
      <c r="B599">
        <v>2024</v>
      </c>
      <c r="C599">
        <v>10</v>
      </c>
      <c r="D599" s="5" t="s">
        <v>9</v>
      </c>
      <c r="E599" t="s">
        <v>40</v>
      </c>
      <c r="F599" t="s">
        <v>11</v>
      </c>
      <c r="G599" t="s">
        <v>16</v>
      </c>
      <c r="H599" t="s">
        <v>22</v>
      </c>
      <c r="I599">
        <v>4.492</v>
      </c>
      <c r="J599" s="8">
        <f t="shared" si="124"/>
        <v>-2.3584393000760841E-2</v>
      </c>
      <c r="K599" s="8">
        <f t="shared" si="125"/>
        <v>-0.26495614609242013</v>
      </c>
      <c r="L599">
        <f t="shared" si="123"/>
        <v>-2.544239300076084E-2</v>
      </c>
      <c r="M599">
        <f t="shared" si="126"/>
        <v>0.32294640274382802</v>
      </c>
      <c r="N599" s="15">
        <v>1.8580000000000001E-3</v>
      </c>
      <c r="O599" s="8">
        <f>(I599 - MAX(I482:I599)) / MAX(I482:I599)</f>
        <v>-0.28084275239345524</v>
      </c>
      <c r="P599" s="15">
        <v>-3.4599999999999999E-2</v>
      </c>
      <c r="Q599">
        <f t="shared" si="127"/>
        <v>1.1853481476470411</v>
      </c>
      <c r="R599">
        <f t="shared" si="128"/>
        <v>6.418779020200778E-3</v>
      </c>
      <c r="S599" s="15">
        <f t="shared" si="129"/>
        <v>6.7898810575647825E-2</v>
      </c>
    </row>
    <row r="600" spans="1:19" x14ac:dyDescent="0.3">
      <c r="A600" s="2">
        <v>45597</v>
      </c>
      <c r="B600">
        <v>2024</v>
      </c>
      <c r="C600">
        <v>11</v>
      </c>
      <c r="D600" s="5" t="s">
        <v>9</v>
      </c>
      <c r="E600" t="s">
        <v>40</v>
      </c>
      <c r="F600" t="s">
        <v>11</v>
      </c>
      <c r="G600" t="s">
        <v>16</v>
      </c>
      <c r="H600" t="s">
        <v>22</v>
      </c>
      <c r="I600">
        <v>4.3754999999999997</v>
      </c>
      <c r="J600" s="8">
        <f t="shared" si="124"/>
        <v>-2.593499554764031E-2</v>
      </c>
      <c r="K600" s="8">
        <f t="shared" si="125"/>
        <v>-0.28401950517083363</v>
      </c>
      <c r="L600">
        <f t="shared" si="123"/>
        <v>-2.785599554764031E-2</v>
      </c>
      <c r="M600">
        <f t="shared" si="126"/>
        <v>0.18017135267529699</v>
      </c>
      <c r="N600" s="15">
        <v>1.921E-3</v>
      </c>
      <c r="O600" s="8">
        <f>(I600 - MAX(I482:I600)) / MAX(I482:I600)</f>
        <v>-0.2994940924081842</v>
      </c>
      <c r="P600" s="15">
        <v>-4.7999999999999996E-3</v>
      </c>
      <c r="Q600">
        <f t="shared" si="127"/>
        <v>1.2527173141406724</v>
      </c>
      <c r="R600">
        <f t="shared" si="128"/>
        <v>4.0750290234274796E-3</v>
      </c>
      <c r="S600" s="15">
        <f t="shared" si="129"/>
        <v>6.5118991511293189E-2</v>
      </c>
    </row>
    <row r="601" spans="1:19" x14ac:dyDescent="0.3">
      <c r="A601" s="2">
        <v>45627</v>
      </c>
      <c r="B601">
        <v>2024</v>
      </c>
      <c r="C601">
        <v>12</v>
      </c>
      <c r="D601" s="5" t="s">
        <v>9</v>
      </c>
      <c r="E601" t="s">
        <v>40</v>
      </c>
      <c r="F601" t="s">
        <v>11</v>
      </c>
      <c r="G601" t="s">
        <v>16</v>
      </c>
      <c r="H601" t="s">
        <v>22</v>
      </c>
      <c r="I601">
        <v>4.4645000000000001</v>
      </c>
      <c r="J601" s="8">
        <f t="shared" si="124"/>
        <v>2.0340532510570317E-2</v>
      </c>
      <c r="K601" s="8">
        <f t="shared" si="125"/>
        <v>-0.26945608063882676</v>
      </c>
      <c r="L601">
        <f t="shared" si="123"/>
        <v>1.8524532510570318E-2</v>
      </c>
      <c r="M601">
        <f t="shared" si="126"/>
        <v>0.21424369950829322</v>
      </c>
      <c r="N601" s="15">
        <v>1.8159999999999999E-3</v>
      </c>
      <c r="O601" s="8">
        <f>(I601 - MAX(I482:I601)) / MAX(I482:I601)</f>
        <v>-0.2852454292209663</v>
      </c>
      <c r="P601" s="15">
        <v>1.35E-2</v>
      </c>
      <c r="Q601">
        <f t="shared" si="127"/>
        <v>1.4118755566401298</v>
      </c>
      <c r="R601">
        <f t="shared" si="128"/>
        <v>7.4238529300557684E-3</v>
      </c>
      <c r="S601" s="15">
        <f t="shared" si="129"/>
        <v>6.4849771750347132E-2</v>
      </c>
    </row>
    <row r="602" spans="1:19" x14ac:dyDescent="0.3">
      <c r="A602" s="2">
        <v>42005</v>
      </c>
      <c r="B602">
        <v>2015</v>
      </c>
      <c r="C602">
        <v>1</v>
      </c>
      <c r="D602" t="s">
        <v>55</v>
      </c>
      <c r="E602" t="s">
        <v>26</v>
      </c>
      <c r="F602" t="s">
        <v>23</v>
      </c>
      <c r="G602" t="s">
        <v>35</v>
      </c>
      <c r="H602" t="s">
        <v>12</v>
      </c>
      <c r="I602">
        <v>36.26</v>
      </c>
      <c r="J602" s="8">
        <v>3.6977491961414088E-3</v>
      </c>
      <c r="K602" s="8">
        <v>3.6977491961414088E-3</v>
      </c>
      <c r="L602" s="6">
        <f t="shared" si="123"/>
        <v>3.3727491961414091E-3</v>
      </c>
      <c r="M602" t="str">
        <f>IF(COUNT(J602:J602)&lt;12,"",(AVERAGE(J602:J602)-N602)/STDEV(J602:J602))</f>
        <v/>
      </c>
      <c r="N602" s="15">
        <v>3.2499999999999999E-4</v>
      </c>
      <c r="O602" s="8">
        <f>(I602 - MAX(I602:I602)) / MAX(I602:I602)</f>
        <v>0</v>
      </c>
      <c r="P602" s="15">
        <v>6.5199999999999994E-2</v>
      </c>
    </row>
    <row r="603" spans="1:19" x14ac:dyDescent="0.3">
      <c r="A603" s="2">
        <v>42036</v>
      </c>
      <c r="B603">
        <v>2015</v>
      </c>
      <c r="C603">
        <v>2</v>
      </c>
      <c r="D603" t="s">
        <v>55</v>
      </c>
      <c r="E603" t="s">
        <v>26</v>
      </c>
      <c r="F603" t="s">
        <v>23</v>
      </c>
      <c r="G603" t="s">
        <v>35</v>
      </c>
      <c r="H603" t="s">
        <v>12</v>
      </c>
      <c r="I603">
        <v>39.03</v>
      </c>
      <c r="J603" s="8">
        <f t="shared" ref="J603:J634" si="130">(I603-I602)/I602</f>
        <v>7.6392719249862198E-2</v>
      </c>
      <c r="K603" s="8">
        <f t="shared" ref="K603:K634" si="131">(K602+1)*(J603+1)-1</f>
        <v>8.0372949562200757E-2</v>
      </c>
      <c r="L603" s="6">
        <f t="shared" si="123"/>
        <v>7.6140719249862196E-2</v>
      </c>
      <c r="M603" t="str">
        <f>IF(COUNT(J602:J603)&lt;12,"",(AVERAGE(J602:J603)-N603)/STDEV(J602:J603))</f>
        <v/>
      </c>
      <c r="N603" s="15">
        <v>2.52E-4</v>
      </c>
      <c r="O603" s="8">
        <f>(I603 - MAX(I602:I603)) / MAX(I602:I603)</f>
        <v>0</v>
      </c>
      <c r="P603" s="15">
        <v>7.3899999999999993E-2</v>
      </c>
    </row>
    <row r="604" spans="1:19" x14ac:dyDescent="0.3">
      <c r="A604" s="2">
        <v>42064</v>
      </c>
      <c r="B604">
        <v>2015</v>
      </c>
      <c r="C604">
        <v>3</v>
      </c>
      <c r="D604" t="s">
        <v>55</v>
      </c>
      <c r="E604" t="s">
        <v>26</v>
      </c>
      <c r="F604" t="s">
        <v>23</v>
      </c>
      <c r="G604" t="s">
        <v>35</v>
      </c>
      <c r="H604" t="s">
        <v>12</v>
      </c>
      <c r="I604">
        <v>39.700000000000003</v>
      </c>
      <c r="J604" s="8">
        <f t="shared" si="130"/>
        <v>1.7166282346912674E-2</v>
      </c>
      <c r="K604" s="8">
        <f t="shared" si="131"/>
        <v>9.8918936654352363E-2</v>
      </c>
      <c r="L604" s="6">
        <f t="shared" si="123"/>
        <v>1.6977282346912672E-2</v>
      </c>
      <c r="M604" t="str">
        <f>IF(COUNT(J602:J604)&lt;12,"",(AVERAGE(J602:J604)-N604)/STDEV(J602:J604))</f>
        <v/>
      </c>
      <c r="N604" s="15">
        <v>1.8900000000000001E-4</v>
      </c>
      <c r="O604" s="8">
        <f>(I604 - MAX(I602:I604)) / MAX(I602:I604)</f>
        <v>0</v>
      </c>
      <c r="P604" s="15">
        <v>2.7300000000000001E-2</v>
      </c>
    </row>
    <row r="605" spans="1:19" x14ac:dyDescent="0.3">
      <c r="A605" s="2">
        <v>42095</v>
      </c>
      <c r="B605">
        <v>2015</v>
      </c>
      <c r="C605">
        <v>4</v>
      </c>
      <c r="D605" t="s">
        <v>55</v>
      </c>
      <c r="E605" t="s">
        <v>26</v>
      </c>
      <c r="F605" t="s">
        <v>23</v>
      </c>
      <c r="G605" t="s">
        <v>35</v>
      </c>
      <c r="H605" t="s">
        <v>12</v>
      </c>
      <c r="I605">
        <v>38.799999999999997</v>
      </c>
      <c r="J605" s="8">
        <f t="shared" si="130"/>
        <v>-2.2670025188917017E-2</v>
      </c>
      <c r="K605" s="8">
        <f t="shared" si="131"/>
        <v>7.4006416679820219E-2</v>
      </c>
      <c r="L605" s="6">
        <f t="shared" si="123"/>
        <v>-2.2772025188917019E-2</v>
      </c>
      <c r="M605" t="str">
        <f>IF(COUNT(J602:J605)&lt;12,"",(AVERAGE(J602:J605)-N605)/STDEV(J602:J605))</f>
        <v/>
      </c>
      <c r="N605" s="15">
        <v>1.02E-4</v>
      </c>
      <c r="O605" s="8">
        <f>(I605 - MAX(I602:I605)) / MAX(I602:I605)</f>
        <v>-2.2670025188917017E-2</v>
      </c>
      <c r="P605" s="15">
        <v>-2.2100000000000002E-2</v>
      </c>
    </row>
    <row r="606" spans="1:19" x14ac:dyDescent="0.3">
      <c r="A606" s="2">
        <v>42125</v>
      </c>
      <c r="B606">
        <v>2015</v>
      </c>
      <c r="C606">
        <v>5</v>
      </c>
      <c r="D606" t="s">
        <v>55</v>
      </c>
      <c r="E606" t="s">
        <v>26</v>
      </c>
      <c r="F606" t="s">
        <v>23</v>
      </c>
      <c r="G606" t="s">
        <v>35</v>
      </c>
      <c r="H606" t="s">
        <v>12</v>
      </c>
      <c r="I606">
        <v>40.08</v>
      </c>
      <c r="J606" s="8">
        <f t="shared" si="130"/>
        <v>3.2989690721649513E-2</v>
      </c>
      <c r="K606" s="8">
        <f t="shared" si="131"/>
        <v>0.10943755619915452</v>
      </c>
      <c r="L606" s="6">
        <f t="shared" si="123"/>
        <v>3.2526690721649515E-2</v>
      </c>
      <c r="M606" t="str">
        <f>IF(COUNT(J602:J606)&lt;12,"",(AVERAGE(J602:J606)-N606)/STDEV(J602:J606))</f>
        <v/>
      </c>
      <c r="N606" s="15">
        <v>4.6299999999999998E-4</v>
      </c>
      <c r="O606" s="8">
        <f>(I606 - MAX(I602:I606)) / MAX(I602:I606)</f>
        <v>0</v>
      </c>
      <c r="P606" s="15">
        <v>-1.24E-2</v>
      </c>
    </row>
    <row r="607" spans="1:19" x14ac:dyDescent="0.3">
      <c r="A607" s="2">
        <v>42156</v>
      </c>
      <c r="B607">
        <v>2015</v>
      </c>
      <c r="C607">
        <v>6</v>
      </c>
      <c r="D607" t="s">
        <v>55</v>
      </c>
      <c r="E607" t="s">
        <v>26</v>
      </c>
      <c r="F607" t="s">
        <v>23</v>
      </c>
      <c r="G607" t="s">
        <v>35</v>
      </c>
      <c r="H607" t="s">
        <v>12</v>
      </c>
      <c r="I607">
        <v>41.42</v>
      </c>
      <c r="J607" s="8">
        <f t="shared" si="130"/>
        <v>3.3433133732535016E-2</v>
      </c>
      <c r="K607" s="8">
        <f t="shared" si="131"/>
        <v>0.14652953038345773</v>
      </c>
      <c r="L607" s="6">
        <f t="shared" si="123"/>
        <v>3.2772133732535014E-2</v>
      </c>
      <c r="M607" t="str">
        <f>IF(COUNT(J602:J607)&lt;12,"",(AVERAGE(J602:J607)-N607)/STDEV(J602:J607))</f>
        <v/>
      </c>
      <c r="N607" s="15">
        <v>6.6100000000000002E-4</v>
      </c>
      <c r="O607" s="8">
        <f>(I607 - MAX(I602:I607)) / MAX(I602:I607)</f>
        <v>0</v>
      </c>
      <c r="P607" s="15">
        <v>-4.0999999999999988E-2</v>
      </c>
    </row>
    <row r="608" spans="1:19" x14ac:dyDescent="0.3">
      <c r="A608" s="2">
        <v>42186</v>
      </c>
      <c r="B608">
        <v>2015</v>
      </c>
      <c r="C608">
        <v>7</v>
      </c>
      <c r="D608" t="s">
        <v>55</v>
      </c>
      <c r="E608" t="s">
        <v>26</v>
      </c>
      <c r="F608" t="s">
        <v>23</v>
      </c>
      <c r="G608" t="s">
        <v>35</v>
      </c>
      <c r="H608" t="s">
        <v>12</v>
      </c>
      <c r="I608">
        <v>43.43</v>
      </c>
      <c r="J608" s="8">
        <f t="shared" si="130"/>
        <v>4.8527281506518541E-2</v>
      </c>
      <c r="K608" s="8">
        <f t="shared" si="131"/>
        <v>0.20216749165991232</v>
      </c>
      <c r="L608" s="6">
        <f t="shared" si="123"/>
        <v>4.7935281506518539E-2</v>
      </c>
      <c r="M608" t="str">
        <f>IF(COUNT(J602:J608)&lt;12,"",(AVERAGE(J602:J608)-N608)/STDEV(J602:J608))</f>
        <v/>
      </c>
      <c r="N608" s="15">
        <v>5.9199999999999997E-4</v>
      </c>
      <c r="O608" s="8">
        <f>(I608 - MAX(I602:I608)) / MAX(I602:I608)</f>
        <v>0</v>
      </c>
      <c r="P608" s="15">
        <v>5.1499999999999997E-2</v>
      </c>
    </row>
    <row r="609" spans="1:19" x14ac:dyDescent="0.3">
      <c r="A609" s="2">
        <v>42217</v>
      </c>
      <c r="B609">
        <v>2015</v>
      </c>
      <c r="C609">
        <v>8</v>
      </c>
      <c r="D609" t="s">
        <v>55</v>
      </c>
      <c r="E609" t="s">
        <v>26</v>
      </c>
      <c r="F609" t="s">
        <v>23</v>
      </c>
      <c r="G609" t="s">
        <v>35</v>
      </c>
      <c r="H609" t="s">
        <v>12</v>
      </c>
      <c r="I609">
        <v>42.63</v>
      </c>
      <c r="J609" s="8">
        <f t="shared" si="130"/>
        <v>-1.8420446695832308E-2</v>
      </c>
      <c r="K609" s="8">
        <f t="shared" si="131"/>
        <v>0.18002302946032844</v>
      </c>
      <c r="L609" s="6">
        <f t="shared" si="123"/>
        <v>-1.8927446695832309E-2</v>
      </c>
      <c r="M609" t="str">
        <f>IF(COUNT(J602:J609)&lt;12,"",(AVERAGE(J602:J609)-N609)/STDEV(J602:J609))</f>
        <v/>
      </c>
      <c r="N609" s="15">
        <v>5.0699999999999996E-4</v>
      </c>
      <c r="O609" s="8">
        <f>(I609 - MAX(I602:I609)) / MAX(I602:I609)</f>
        <v>-1.8420446695832308E-2</v>
      </c>
      <c r="P609" s="15">
        <v>-9.1899999999999996E-2</v>
      </c>
    </row>
    <row r="610" spans="1:19" x14ac:dyDescent="0.3">
      <c r="A610" s="2">
        <v>42248</v>
      </c>
      <c r="B610">
        <v>2015</v>
      </c>
      <c r="C610">
        <v>9</v>
      </c>
      <c r="D610" t="s">
        <v>55</v>
      </c>
      <c r="E610" t="s">
        <v>26</v>
      </c>
      <c r="F610" t="s">
        <v>23</v>
      </c>
      <c r="G610" t="s">
        <v>35</v>
      </c>
      <c r="H610" t="s">
        <v>12</v>
      </c>
      <c r="I610">
        <v>43.31</v>
      </c>
      <c r="J610" s="8">
        <f t="shared" si="130"/>
        <v>1.5951208069434664E-2</v>
      </c>
      <c r="K610" s="8">
        <f t="shared" si="131"/>
        <v>0.19884582232997472</v>
      </c>
      <c r="L610" s="6">
        <f t="shared" si="123"/>
        <v>1.5406208069434664E-2</v>
      </c>
      <c r="M610" t="str">
        <f>IF(COUNT(J602:J610)&lt;12,"",(AVERAGE(J602:J610)-N610)/STDEV(J602:J610))</f>
        <v/>
      </c>
      <c r="N610" s="15">
        <v>5.4500000000000002E-4</v>
      </c>
      <c r="O610" s="8">
        <f>(I610 - MAX(I602:I610)) / MAX(I602:I610)</f>
        <v>-2.7630670043747971E-3</v>
      </c>
      <c r="P610" s="15">
        <v>-5.1700000000000003E-2</v>
      </c>
    </row>
    <row r="611" spans="1:19" x14ac:dyDescent="0.3">
      <c r="A611" s="2">
        <v>42278</v>
      </c>
      <c r="B611">
        <v>2015</v>
      </c>
      <c r="C611">
        <v>10</v>
      </c>
      <c r="D611" t="s">
        <v>55</v>
      </c>
      <c r="E611" t="s">
        <v>26</v>
      </c>
      <c r="F611" t="s">
        <v>23</v>
      </c>
      <c r="G611" t="s">
        <v>35</v>
      </c>
      <c r="H611" t="s">
        <v>12</v>
      </c>
      <c r="I611">
        <v>48.26</v>
      </c>
      <c r="J611" s="8">
        <f t="shared" si="130"/>
        <v>0.11429231124451618</v>
      </c>
      <c r="K611" s="8">
        <f t="shared" si="131"/>
        <v>0.33586468218990029</v>
      </c>
      <c r="L611" s="6">
        <f t="shared" si="123"/>
        <v>0.11386031124451618</v>
      </c>
      <c r="M611" t="str">
        <f>IF(COUNT(J602:J611)&lt;12,"",(AVERAGE(J602:J611)-N611)/STDEV(J602:J611))</f>
        <v/>
      </c>
      <c r="N611" s="15">
        <v>4.3199999999999998E-4</v>
      </c>
      <c r="O611" s="8">
        <f>(I611 - MAX(I602:I611)) / MAX(I602:I611)</f>
        <v>0</v>
      </c>
      <c r="P611" s="15">
        <v>0.1024</v>
      </c>
    </row>
    <row r="612" spans="1:19" x14ac:dyDescent="0.3">
      <c r="A612" s="2">
        <v>42309</v>
      </c>
      <c r="B612">
        <v>2015</v>
      </c>
      <c r="C612">
        <v>11</v>
      </c>
      <c r="D612" t="s">
        <v>55</v>
      </c>
      <c r="E612" t="s">
        <v>26</v>
      </c>
      <c r="F612" t="s">
        <v>23</v>
      </c>
      <c r="G612" t="s">
        <v>35</v>
      </c>
      <c r="H612" t="s">
        <v>12</v>
      </c>
      <c r="I612">
        <v>48.12</v>
      </c>
      <c r="J612" s="8">
        <f t="shared" si="130"/>
        <v>-2.9009531703274053E-3</v>
      </c>
      <c r="K612" s="8">
        <f t="shared" si="131"/>
        <v>0.33198940130497312</v>
      </c>
      <c r="L612" s="6">
        <f t="shared" si="123"/>
        <v>-3.3309531703274052E-3</v>
      </c>
      <c r="M612" t="str">
        <f>IF(COUNT(J602:J612)&lt;12,"",(AVERAGE(J602:J612)-N612)/STDEV(J602:J612))</f>
        <v/>
      </c>
      <c r="N612" s="15">
        <v>4.2999999999999999E-4</v>
      </c>
      <c r="O612" s="8">
        <f>(I612 - MAX(I602:I612)) / MAX(I602:I612)</f>
        <v>-2.9009531703274053E-3</v>
      </c>
      <c r="P612" s="15">
        <v>2.58E-2</v>
      </c>
    </row>
    <row r="613" spans="1:19" x14ac:dyDescent="0.3">
      <c r="A613" s="2">
        <v>42339</v>
      </c>
      <c r="B613">
        <v>2015</v>
      </c>
      <c r="C613">
        <v>12</v>
      </c>
      <c r="D613" t="s">
        <v>55</v>
      </c>
      <c r="E613" t="s">
        <v>26</v>
      </c>
      <c r="F613" t="s">
        <v>23</v>
      </c>
      <c r="G613" t="s">
        <v>35</v>
      </c>
      <c r="H613" t="s">
        <v>12</v>
      </c>
      <c r="I613">
        <v>45.73</v>
      </c>
      <c r="J613" s="8">
        <f t="shared" si="130"/>
        <v>-4.9667497921862029E-2</v>
      </c>
      <c r="K613" s="8">
        <f t="shared" si="131"/>
        <v>0.26583282048371615</v>
      </c>
      <c r="L613" s="6">
        <f t="shared" si="123"/>
        <v>-5.0122497921862026E-2</v>
      </c>
      <c r="M613">
        <f t="shared" ref="M613:M644" si="132">(AVERAGE(J602:J613)-AVERAGE(N602:N613))/STDEV(J602:J613)</f>
        <v>0.4523883081891496</v>
      </c>
      <c r="N613" s="15">
        <v>4.55E-4</v>
      </c>
      <c r="O613" s="8">
        <f>(I613 - MAX(I602:I613)) / MAX(I602:I613)</f>
        <v>-5.2424368006630778E-2</v>
      </c>
      <c r="P613" s="15">
        <v>-6.2300000000000001E-2</v>
      </c>
      <c r="Q613">
        <f t="shared" ref="Q613:Q644" si="133" xml:space="preserve"> _xlfn.COVARIANCE.P(J602:J613, P602:P613) / _xlfn.VAR.P(P602:P613)</f>
        <v>0.52928476263003432</v>
      </c>
      <c r="R613">
        <f t="shared" ref="R613:R644" si="134">AVERAGE(J602:J613)-(AVERAGE(N602:N613)+Q613*(AVERAGE(P602:P613)-AVERAGE(N602:N613)))</f>
        <v>1.7684606364814559E-2</v>
      </c>
      <c r="S613" s="15">
        <f t="shared" ref="S613:S644" si="135">STDEV(J602:J613)</f>
        <v>4.4916879422069275E-2</v>
      </c>
    </row>
    <row r="614" spans="1:19" x14ac:dyDescent="0.3">
      <c r="A614" s="2">
        <v>42370</v>
      </c>
      <c r="B614">
        <v>2016</v>
      </c>
      <c r="C614">
        <v>1</v>
      </c>
      <c r="D614" t="s">
        <v>55</v>
      </c>
      <c r="E614" t="s">
        <v>26</v>
      </c>
      <c r="F614" t="s">
        <v>23</v>
      </c>
      <c r="G614" t="s">
        <v>35</v>
      </c>
      <c r="H614" t="s">
        <v>12</v>
      </c>
      <c r="I614">
        <v>47.28</v>
      </c>
      <c r="J614" s="8">
        <f t="shared" si="130"/>
        <v>3.3894598731686078E-2</v>
      </c>
      <c r="K614" s="8">
        <f t="shared" si="131"/>
        <v>0.30873771599541011</v>
      </c>
      <c r="L614" s="6">
        <f t="shared" si="123"/>
        <v>3.353559873168608E-2</v>
      </c>
      <c r="M614">
        <f t="shared" si="132"/>
        <v>0.51057302339048516</v>
      </c>
      <c r="N614" s="15">
        <v>3.59E-4</v>
      </c>
      <c r="O614" s="8">
        <f>(I614 - MAX(I602:I614)) / MAX(I602:I614)</f>
        <v>-2.0306672192291687E-2</v>
      </c>
      <c r="P614" s="15">
        <v>-7.3899999999999993E-2</v>
      </c>
      <c r="Q614">
        <f t="shared" si="133"/>
        <v>0.52324247895397624</v>
      </c>
      <c r="R614">
        <f t="shared" si="134"/>
        <v>2.6294996108574612E-2</v>
      </c>
      <c r="S614" s="15">
        <f t="shared" si="135"/>
        <v>4.472120703496648E-2</v>
      </c>
    </row>
    <row r="615" spans="1:19" x14ac:dyDescent="0.3">
      <c r="A615" s="2">
        <v>42401</v>
      </c>
      <c r="B615">
        <v>2016</v>
      </c>
      <c r="C615">
        <v>2</v>
      </c>
      <c r="D615" t="s">
        <v>55</v>
      </c>
      <c r="E615" t="s">
        <v>26</v>
      </c>
      <c r="F615" t="s">
        <v>23</v>
      </c>
      <c r="G615" t="s">
        <v>35</v>
      </c>
      <c r="H615" t="s">
        <v>12</v>
      </c>
      <c r="I615">
        <v>47.81</v>
      </c>
      <c r="J615" s="8">
        <f t="shared" si="130"/>
        <v>1.1209813874788518E-2</v>
      </c>
      <c r="K615" s="8">
        <f t="shared" si="131"/>
        <v>0.32340842220263455</v>
      </c>
      <c r="L615" s="6">
        <f t="shared" si="123"/>
        <v>1.1065813874788518E-2</v>
      </c>
      <c r="M615">
        <f t="shared" si="132"/>
        <v>0.41929060007040203</v>
      </c>
      <c r="N615" s="15">
        <v>1.44E-4</v>
      </c>
      <c r="O615" s="8">
        <f>(I615 - MAX(I602:I615)) / MAX(I602:I615)</f>
        <v>-9.3244923331951054E-3</v>
      </c>
      <c r="P615" s="15">
        <v>-3.2599999999999997E-2</v>
      </c>
      <c r="Q615">
        <f t="shared" si="133"/>
        <v>0.49435278332242838</v>
      </c>
      <c r="R615">
        <f t="shared" si="134"/>
        <v>2.5063896915329988E-2</v>
      </c>
      <c r="S615" s="15">
        <f t="shared" si="135"/>
        <v>4.1523785892970601E-2</v>
      </c>
    </row>
    <row r="616" spans="1:19" x14ac:dyDescent="0.3">
      <c r="A616" s="2">
        <v>42430</v>
      </c>
      <c r="B616">
        <v>2016</v>
      </c>
      <c r="C616">
        <v>3</v>
      </c>
      <c r="D616" t="s">
        <v>55</v>
      </c>
      <c r="E616" t="s">
        <v>26</v>
      </c>
      <c r="F616" t="s">
        <v>23</v>
      </c>
      <c r="G616" t="s">
        <v>35</v>
      </c>
      <c r="H616" t="s">
        <v>12</v>
      </c>
      <c r="I616">
        <v>51.29</v>
      </c>
      <c r="J616" s="8">
        <f t="shared" si="130"/>
        <v>7.2788119640242552E-2</v>
      </c>
      <c r="K616" s="8">
        <f t="shared" si="131"/>
        <v>0.41973683277082441</v>
      </c>
      <c r="L616" s="6">
        <f t="shared" si="123"/>
        <v>7.2645119640242548E-2</v>
      </c>
      <c r="M616">
        <f t="shared" si="132"/>
        <v>0.4960953590520602</v>
      </c>
      <c r="N616" s="15">
        <v>1.4300000000000001E-4</v>
      </c>
      <c r="O616" s="8">
        <f>(I616 - MAX(I602:I616)) / MAX(I602:I616)</f>
        <v>0</v>
      </c>
      <c r="P616" s="15">
        <v>2.01E-2</v>
      </c>
      <c r="Q616">
        <f t="shared" si="133"/>
        <v>0.55909133879068407</v>
      </c>
      <c r="R616">
        <f t="shared" si="134"/>
        <v>3.1038450317611273E-2</v>
      </c>
      <c r="S616" s="15">
        <f t="shared" si="135"/>
        <v>4.4446131460495045E-2</v>
      </c>
    </row>
    <row r="617" spans="1:19" x14ac:dyDescent="0.3">
      <c r="A617" s="2">
        <v>42461</v>
      </c>
      <c r="B617">
        <v>2016</v>
      </c>
      <c r="C617">
        <v>4</v>
      </c>
      <c r="D617" t="s">
        <v>55</v>
      </c>
      <c r="E617" t="s">
        <v>26</v>
      </c>
      <c r="F617" t="s">
        <v>23</v>
      </c>
      <c r="G617" t="s">
        <v>35</v>
      </c>
      <c r="H617" t="s">
        <v>12</v>
      </c>
      <c r="I617">
        <v>48.86</v>
      </c>
      <c r="J617" s="8">
        <f t="shared" si="130"/>
        <v>-4.7377656463248194E-2</v>
      </c>
      <c r="K617" s="8">
        <f t="shared" si="131"/>
        <v>0.35247302883958831</v>
      </c>
      <c r="L617" s="6">
        <f t="shared" si="123"/>
        <v>-4.7489656463248195E-2</v>
      </c>
      <c r="M617">
        <f t="shared" si="132"/>
        <v>0.42339754766246479</v>
      </c>
      <c r="N617" s="15">
        <v>1.12E-4</v>
      </c>
      <c r="O617" s="8">
        <f>(I617 - MAX(I602:I617)) / MAX(I602:I617)</f>
        <v>-4.7377656463248194E-2</v>
      </c>
      <c r="P617" s="15">
        <v>7.7000000000000002E-3</v>
      </c>
      <c r="Q617">
        <f t="shared" si="133"/>
        <v>0.49994615407865439</v>
      </c>
      <c r="R617">
        <f t="shared" si="134"/>
        <v>2.6786609890412916E-2</v>
      </c>
      <c r="S617" s="15">
        <f t="shared" si="135"/>
        <v>4.7212642230774142E-2</v>
      </c>
    </row>
    <row r="618" spans="1:19" x14ac:dyDescent="0.3">
      <c r="A618" s="2">
        <v>42491</v>
      </c>
      <c r="B618">
        <v>2016</v>
      </c>
      <c r="C618">
        <v>5</v>
      </c>
      <c r="D618" t="s">
        <v>55</v>
      </c>
      <c r="E618" t="s">
        <v>26</v>
      </c>
      <c r="F618" t="s">
        <v>23</v>
      </c>
      <c r="G618" t="s">
        <v>35</v>
      </c>
      <c r="H618" t="s">
        <v>12</v>
      </c>
      <c r="I618">
        <v>52.67</v>
      </c>
      <c r="J618" s="8">
        <f t="shared" si="130"/>
        <v>7.7977896029472013E-2</v>
      </c>
      <c r="K618" s="8">
        <f t="shared" si="131"/>
        <v>0.45793603006510675</v>
      </c>
      <c r="L618" s="6">
        <f t="shared" si="123"/>
        <v>7.7866896029472013E-2</v>
      </c>
      <c r="M618">
        <f t="shared" si="132"/>
        <v>0.4752920074520684</v>
      </c>
      <c r="N618" s="15">
        <v>1.11E-4</v>
      </c>
      <c r="O618" s="8">
        <f>(I618 - MAX(I602:I618)) / MAX(I602:I618)</f>
        <v>0</v>
      </c>
      <c r="P618" s="15">
        <v>1.1599999999999999E-2</v>
      </c>
      <c r="Q618">
        <f t="shared" si="133"/>
        <v>0.52888262461029523</v>
      </c>
      <c r="R618">
        <f t="shared" si="134"/>
        <v>2.9885079744184258E-2</v>
      </c>
      <c r="S618" s="15">
        <f t="shared" si="135"/>
        <v>5.000729448178353E-2</v>
      </c>
    </row>
    <row r="619" spans="1:19" x14ac:dyDescent="0.3">
      <c r="A619" s="2">
        <v>42522</v>
      </c>
      <c r="B619">
        <v>2016</v>
      </c>
      <c r="C619">
        <v>6</v>
      </c>
      <c r="D619" t="s">
        <v>55</v>
      </c>
      <c r="E619" t="s">
        <v>26</v>
      </c>
      <c r="F619" t="s">
        <v>23</v>
      </c>
      <c r="G619" t="s">
        <v>35</v>
      </c>
      <c r="H619" t="s">
        <v>12</v>
      </c>
      <c r="I619">
        <v>54.37</v>
      </c>
      <c r="J619" s="8">
        <f t="shared" si="130"/>
        <v>3.2276438200113833E-2</v>
      </c>
      <c r="K619" s="8">
        <f t="shared" si="131"/>
        <v>0.50499301223922255</v>
      </c>
      <c r="L619" s="6">
        <f t="shared" si="123"/>
        <v>3.2290438200113833E-2</v>
      </c>
      <c r="M619">
        <f t="shared" si="132"/>
        <v>0.47466418794466858</v>
      </c>
      <c r="N619" s="15">
        <v>-1.4E-5</v>
      </c>
      <c r="O619" s="8">
        <f>(I619 - MAX(I602:I619)) / MAX(I602:I619)</f>
        <v>0</v>
      </c>
      <c r="P619" s="15">
        <v>-6.4899999999999999E-2</v>
      </c>
      <c r="Q619">
        <f t="shared" si="133"/>
        <v>0.49753761682867897</v>
      </c>
      <c r="R619">
        <f t="shared" si="134"/>
        <v>3.0445347297801476E-2</v>
      </c>
      <c r="S619" s="15">
        <f t="shared" si="135"/>
        <v>4.9988869372827344E-2</v>
      </c>
    </row>
    <row r="620" spans="1:19" x14ac:dyDescent="0.3">
      <c r="A620" s="2">
        <v>42552</v>
      </c>
      <c r="B620">
        <v>2016</v>
      </c>
      <c r="C620">
        <v>7</v>
      </c>
      <c r="D620" t="s">
        <v>55</v>
      </c>
      <c r="E620" t="s">
        <v>26</v>
      </c>
      <c r="F620" t="s">
        <v>23</v>
      </c>
      <c r="G620" t="s">
        <v>35</v>
      </c>
      <c r="H620" t="s">
        <v>12</v>
      </c>
      <c r="I620">
        <v>55.18</v>
      </c>
      <c r="J620" s="8">
        <f t="shared" si="130"/>
        <v>1.4897921647967672E-2</v>
      </c>
      <c r="K620" s="8">
        <f t="shared" si="131"/>
        <v>0.52741428021630132</v>
      </c>
      <c r="L620" s="6">
        <f t="shared" si="123"/>
        <v>1.5026921647967673E-2</v>
      </c>
      <c r="M620">
        <f t="shared" si="132"/>
        <v>0.42454096180806172</v>
      </c>
      <c r="N620" s="15">
        <v>-1.2899999999999999E-4</v>
      </c>
      <c r="O620" s="8">
        <f>(I620 - MAX(I602:I620)) / MAX(I602:I620)</f>
        <v>0</v>
      </c>
      <c r="P620" s="15">
        <v>4.3999999999999997E-2</v>
      </c>
      <c r="Q620">
        <f t="shared" si="133"/>
        <v>0.45254835368919211</v>
      </c>
      <c r="R620">
        <f t="shared" si="134"/>
        <v>2.7351221045659901E-2</v>
      </c>
      <c r="S620" s="15">
        <f t="shared" si="135"/>
        <v>4.9431184864246476E-2</v>
      </c>
    </row>
    <row r="621" spans="1:19" x14ac:dyDescent="0.3">
      <c r="A621" s="2">
        <v>42583</v>
      </c>
      <c r="B621">
        <v>2016</v>
      </c>
      <c r="C621">
        <v>8</v>
      </c>
      <c r="D621" t="s">
        <v>55</v>
      </c>
      <c r="E621" t="s">
        <v>26</v>
      </c>
      <c r="F621" t="s">
        <v>23</v>
      </c>
      <c r="G621" t="s">
        <v>35</v>
      </c>
      <c r="H621" t="s">
        <v>12</v>
      </c>
      <c r="I621">
        <v>51.53</v>
      </c>
      <c r="J621" s="8">
        <f t="shared" si="130"/>
        <v>-6.6147154766219615E-2</v>
      </c>
      <c r="K621" s="8">
        <f t="shared" si="131"/>
        <v>0.42638017143069984</v>
      </c>
      <c r="L621" s="6">
        <f t="shared" si="123"/>
        <v>-6.6037154766219616E-2</v>
      </c>
      <c r="M621">
        <f t="shared" si="132"/>
        <v>0.31264435845522254</v>
      </c>
      <c r="N621" s="15">
        <v>-1.1E-4</v>
      </c>
      <c r="O621" s="8">
        <f>(I621 - MAX(I602:I621)) / MAX(I602:I621)</f>
        <v>-6.6147154766219615E-2</v>
      </c>
      <c r="P621" s="15">
        <v>1.0800000000000001E-2</v>
      </c>
      <c r="Q621">
        <f t="shared" si="133"/>
        <v>0.38896179119323132</v>
      </c>
      <c r="R621">
        <f t="shared" si="134"/>
        <v>1.9182123773359552E-2</v>
      </c>
      <c r="S621" s="15">
        <f t="shared" si="135"/>
        <v>5.4566005425480964E-2</v>
      </c>
    </row>
    <row r="622" spans="1:19" x14ac:dyDescent="0.3">
      <c r="A622" s="2">
        <v>42614</v>
      </c>
      <c r="B622">
        <v>2016</v>
      </c>
      <c r="C622">
        <v>9</v>
      </c>
      <c r="D622" t="s">
        <v>55</v>
      </c>
      <c r="E622" t="s">
        <v>26</v>
      </c>
      <c r="F622" t="s">
        <v>23</v>
      </c>
      <c r="G622" t="s">
        <v>35</v>
      </c>
      <c r="H622" t="s">
        <v>12</v>
      </c>
      <c r="I622">
        <v>49.74</v>
      </c>
      <c r="J622" s="8">
        <f t="shared" si="130"/>
        <v>-3.4737046380749058E-2</v>
      </c>
      <c r="K622" s="8">
        <f t="shared" si="131"/>
        <v>0.37683193725913089</v>
      </c>
      <c r="L622" s="6">
        <f t="shared" si="123"/>
        <v>-3.4667046380749057E-2</v>
      </c>
      <c r="M622">
        <f t="shared" si="132"/>
        <v>0.22768105606746908</v>
      </c>
      <c r="N622" s="15">
        <v>-6.9999999999999994E-5</v>
      </c>
      <c r="O622" s="8">
        <f>(I622 - MAX(I602:I622)) / MAX(I602:I622)</f>
        <v>-9.8586444363899919E-2</v>
      </c>
      <c r="P622" s="15">
        <v>-6.8999999999999999E-3</v>
      </c>
      <c r="Q622">
        <f t="shared" si="133"/>
        <v>0.42824488566122026</v>
      </c>
      <c r="R622">
        <f t="shared" si="134"/>
        <v>1.3602972317283466E-2</v>
      </c>
      <c r="S622" s="15">
        <f t="shared" si="135"/>
        <v>5.6601031188615418E-2</v>
      </c>
    </row>
    <row r="623" spans="1:19" x14ac:dyDescent="0.3">
      <c r="A623" s="2">
        <v>42644</v>
      </c>
      <c r="B623">
        <v>2016</v>
      </c>
      <c r="C623">
        <v>10</v>
      </c>
      <c r="D623" t="s">
        <v>55</v>
      </c>
      <c r="E623" t="s">
        <v>26</v>
      </c>
      <c r="F623" t="s">
        <v>23</v>
      </c>
      <c r="G623" t="s">
        <v>35</v>
      </c>
      <c r="H623" t="s">
        <v>12</v>
      </c>
      <c r="I623">
        <v>49.24</v>
      </c>
      <c r="J623" s="8">
        <f t="shared" si="130"/>
        <v>-1.0052271813429835E-2</v>
      </c>
      <c r="K623" s="8">
        <f t="shared" si="131"/>
        <v>0.36299164838439091</v>
      </c>
      <c r="L623" s="6">
        <f t="shared" si="123"/>
        <v>-1.0054271813429836E-2</v>
      </c>
      <c r="M623">
        <f t="shared" si="132"/>
        <v>5.4557703658748471E-2</v>
      </c>
      <c r="N623" s="15">
        <v>1.9999999999999999E-6</v>
      </c>
      <c r="O623" s="8">
        <f>(I623 - MAX(I602:I623)) / MAX(I602:I623)</f>
        <v>-0.10764769844146425</v>
      </c>
      <c r="P623" s="15">
        <v>1.77E-2</v>
      </c>
      <c r="Q623">
        <f t="shared" si="133"/>
        <v>1.9291148883095299E-2</v>
      </c>
      <c r="R623">
        <f t="shared" si="134"/>
        <v>2.7284925870712079E-3</v>
      </c>
      <c r="S623" s="15">
        <f t="shared" si="135"/>
        <v>4.6936860039420852E-2</v>
      </c>
    </row>
    <row r="624" spans="1:19" x14ac:dyDescent="0.3">
      <c r="A624" s="2">
        <v>42675</v>
      </c>
      <c r="B624">
        <v>2016</v>
      </c>
      <c r="C624">
        <v>11</v>
      </c>
      <c r="D624" t="s">
        <v>55</v>
      </c>
      <c r="E624" t="s">
        <v>26</v>
      </c>
      <c r="F624" t="s">
        <v>23</v>
      </c>
      <c r="G624" t="s">
        <v>35</v>
      </c>
      <c r="H624" t="s">
        <v>12</v>
      </c>
      <c r="I624">
        <v>52.31</v>
      </c>
      <c r="J624" s="8">
        <f t="shared" si="130"/>
        <v>6.2347684809098296E-2</v>
      </c>
      <c r="K624" s="8">
        <f t="shared" si="131"/>
        <v>0.44797102207529416</v>
      </c>
      <c r="L624" s="6">
        <f t="shared" si="123"/>
        <v>6.2189684809098297E-2</v>
      </c>
      <c r="M624">
        <f t="shared" si="132"/>
        <v>0.16068530997771446</v>
      </c>
      <c r="N624" s="15">
        <v>1.5799999999999999E-4</v>
      </c>
      <c r="O624" s="8">
        <f>(I624 - MAX(I602:I624)) / MAX(I602:I624)</f>
        <v>-5.2011598405219239E-2</v>
      </c>
      <c r="P624" s="15">
        <v>-1.1999999999999999E-3</v>
      </c>
      <c r="Q624">
        <f t="shared" si="133"/>
        <v>6.8701255467417024E-2</v>
      </c>
      <c r="R624">
        <f t="shared" si="134"/>
        <v>8.7711584025562794E-3</v>
      </c>
      <c r="S624" s="15">
        <f t="shared" si="135"/>
        <v>4.9916326929745035E-2</v>
      </c>
    </row>
    <row r="625" spans="1:19" x14ac:dyDescent="0.3">
      <c r="A625" s="2">
        <v>42705</v>
      </c>
      <c r="B625">
        <v>2016</v>
      </c>
      <c r="C625">
        <v>12</v>
      </c>
      <c r="D625" t="s">
        <v>55</v>
      </c>
      <c r="E625" t="s">
        <v>26</v>
      </c>
      <c r="F625" t="s">
        <v>23</v>
      </c>
      <c r="G625" t="s">
        <v>35</v>
      </c>
      <c r="H625" t="s">
        <v>12</v>
      </c>
      <c r="I625">
        <v>53.14</v>
      </c>
      <c r="J625" s="8">
        <f t="shared" si="130"/>
        <v>1.5866947046453798E-2</v>
      </c>
      <c r="K625" s="8">
        <f t="shared" si="131"/>
        <v>0.47094590160736249</v>
      </c>
      <c r="L625" s="6">
        <f t="shared" si="123"/>
        <v>1.56569470464538E-2</v>
      </c>
      <c r="M625">
        <f t="shared" si="132"/>
        <v>0.29045856331187614</v>
      </c>
      <c r="N625" s="15">
        <v>2.1000000000000001E-4</v>
      </c>
      <c r="O625" s="8">
        <f>(I625 - MAX(I602:I625)) / MAX(I602:I625)</f>
        <v>-3.6969916636462472E-2</v>
      </c>
      <c r="P625" s="15">
        <v>7.8299999999999995E-2</v>
      </c>
      <c r="Q625">
        <f t="shared" si="133"/>
        <v>-9.7485996205350048E-2</v>
      </c>
      <c r="R625">
        <f t="shared" si="134"/>
        <v>1.3581924461920764E-2</v>
      </c>
      <c r="S625" s="15">
        <f t="shared" si="135"/>
        <v>4.6486633844509045E-2</v>
      </c>
    </row>
    <row r="626" spans="1:19" x14ac:dyDescent="0.3">
      <c r="A626" s="2">
        <v>42736</v>
      </c>
      <c r="B626">
        <v>2017</v>
      </c>
      <c r="C626">
        <v>1</v>
      </c>
      <c r="D626" t="s">
        <v>55</v>
      </c>
      <c r="E626" t="s">
        <v>26</v>
      </c>
      <c r="F626" t="s">
        <v>23</v>
      </c>
      <c r="G626" t="s">
        <v>35</v>
      </c>
      <c r="H626" t="s">
        <v>12</v>
      </c>
      <c r="I626">
        <v>53.72</v>
      </c>
      <c r="J626" s="8">
        <f t="shared" si="130"/>
        <v>1.0914565299209603E-2</v>
      </c>
      <c r="K626" s="8">
        <f t="shared" si="131"/>
        <v>0.48700063670206073</v>
      </c>
      <c r="L626" s="6">
        <f t="shared" si="123"/>
        <v>1.0705565299209602E-2</v>
      </c>
      <c r="M626">
        <f t="shared" si="132"/>
        <v>0.251926795266882</v>
      </c>
      <c r="N626" s="15">
        <v>2.0900000000000001E-4</v>
      </c>
      <c r="O626" s="8">
        <f>(I626 - MAX(I602:I626)) / MAX(I602:I626)</f>
        <v>-2.6458861906487875E-2</v>
      </c>
      <c r="P626" s="15">
        <v>-1.8200000000000001E-2</v>
      </c>
      <c r="Q626">
        <f t="shared" si="133"/>
        <v>-1.8083236659476001E-2</v>
      </c>
      <c r="R626">
        <f t="shared" si="134"/>
        <v>1.1698844356550634E-2</v>
      </c>
      <c r="S626" s="15">
        <f t="shared" si="135"/>
        <v>4.6044876176641235E-2</v>
      </c>
    </row>
    <row r="627" spans="1:19" x14ac:dyDescent="0.3">
      <c r="A627" s="2">
        <v>42767</v>
      </c>
      <c r="B627">
        <v>2017</v>
      </c>
      <c r="C627">
        <v>2</v>
      </c>
      <c r="D627" t="s">
        <v>55</v>
      </c>
      <c r="E627" t="s">
        <v>26</v>
      </c>
      <c r="F627" t="s">
        <v>23</v>
      </c>
      <c r="G627" t="s">
        <v>35</v>
      </c>
      <c r="H627" t="s">
        <v>12</v>
      </c>
      <c r="I627">
        <v>57.7</v>
      </c>
      <c r="J627" s="8">
        <f t="shared" si="130"/>
        <v>7.4087862993298656E-2</v>
      </c>
      <c r="K627" s="8">
        <f t="shared" si="131"/>
        <v>0.59716933614499079</v>
      </c>
      <c r="L627" s="6">
        <f t="shared" si="123"/>
        <v>7.3872862993298649E-2</v>
      </c>
      <c r="M627">
        <f t="shared" si="132"/>
        <v>0.34048384956733291</v>
      </c>
      <c r="N627" s="15">
        <v>2.1499999999999999E-4</v>
      </c>
      <c r="O627" s="8">
        <f>(I627 - MAX(I602:I627)) / MAX(I602:I627)</f>
        <v>0</v>
      </c>
      <c r="P627" s="15">
        <v>2.75E-2</v>
      </c>
      <c r="Q627">
        <f t="shared" si="133"/>
        <v>5.9417416563927322E-2</v>
      </c>
      <c r="R627">
        <f t="shared" si="134"/>
        <v>1.6211644618711413E-2</v>
      </c>
      <c r="S627" s="15">
        <f t="shared" si="135"/>
        <v>4.9440990739822076E-2</v>
      </c>
    </row>
    <row r="628" spans="1:19" x14ac:dyDescent="0.3">
      <c r="A628" s="2">
        <v>42795</v>
      </c>
      <c r="B628">
        <v>2017</v>
      </c>
      <c r="C628">
        <v>3</v>
      </c>
      <c r="D628" t="s">
        <v>55</v>
      </c>
      <c r="E628" t="s">
        <v>26</v>
      </c>
      <c r="F628" t="s">
        <v>23</v>
      </c>
      <c r="G628" t="s">
        <v>35</v>
      </c>
      <c r="H628" t="s">
        <v>12</v>
      </c>
      <c r="I628">
        <v>57.65</v>
      </c>
      <c r="J628" s="8">
        <f t="shared" si="130"/>
        <v>-8.6655112651653837E-4</v>
      </c>
      <c r="K628" s="8">
        <f t="shared" si="131"/>
        <v>0.59578530725751655</v>
      </c>
      <c r="L628" s="6">
        <f t="shared" si="123"/>
        <v>-1.1565511265165384E-3</v>
      </c>
      <c r="M628">
        <f t="shared" si="132"/>
        <v>0.23051269008753184</v>
      </c>
      <c r="N628" s="15">
        <v>2.9E-4</v>
      </c>
      <c r="O628" s="8">
        <f>(I628 - MAX(I602:I628)) / MAX(I602:I628)</f>
        <v>-8.6655112651653837E-4</v>
      </c>
      <c r="P628" s="15">
        <v>5.4600000000000003E-2</v>
      </c>
      <c r="Q628">
        <f t="shared" si="133"/>
        <v>-2.1963503982171083E-2</v>
      </c>
      <c r="R628">
        <f t="shared" si="134"/>
        <v>1.0976595627388478E-2</v>
      </c>
      <c r="S628" s="15">
        <f t="shared" si="135"/>
        <v>4.6347641940655528E-2</v>
      </c>
    </row>
    <row r="629" spans="1:19" x14ac:dyDescent="0.3">
      <c r="A629" s="2">
        <v>42826</v>
      </c>
      <c r="B629">
        <v>2017</v>
      </c>
      <c r="C629">
        <v>4</v>
      </c>
      <c r="D629" t="s">
        <v>55</v>
      </c>
      <c r="E629" t="s">
        <v>26</v>
      </c>
      <c r="F629" t="s">
        <v>23</v>
      </c>
      <c r="G629" t="s">
        <v>35</v>
      </c>
      <c r="H629" t="s">
        <v>12</v>
      </c>
      <c r="I629">
        <v>59.57</v>
      </c>
      <c r="J629" s="8">
        <f t="shared" si="130"/>
        <v>3.3304423243712085E-2</v>
      </c>
      <c r="K629" s="8">
        <f t="shared" si="131"/>
        <v>0.648932016536518</v>
      </c>
      <c r="L629" s="6">
        <f t="shared" si="123"/>
        <v>3.3116423243712084E-2</v>
      </c>
      <c r="M629">
        <f t="shared" si="132"/>
        <v>0.40592103610949276</v>
      </c>
      <c r="N629" s="15">
        <v>1.8799999999999999E-4</v>
      </c>
      <c r="O629" s="8">
        <f>(I629 - MAX(I602:I629)) / MAX(I602:I629)</f>
        <v>0</v>
      </c>
      <c r="P629" s="15">
        <v>1.6799999999999999E-2</v>
      </c>
      <c r="Q629">
        <f t="shared" si="133"/>
        <v>-4.3398826581643013E-2</v>
      </c>
      <c r="R629">
        <f t="shared" si="134"/>
        <v>1.8012237735647654E-2</v>
      </c>
      <c r="S629" s="15">
        <f t="shared" si="135"/>
        <v>4.2867679632089518E-2</v>
      </c>
    </row>
    <row r="630" spans="1:19" x14ac:dyDescent="0.3">
      <c r="A630" s="2">
        <v>42856</v>
      </c>
      <c r="B630">
        <v>2017</v>
      </c>
      <c r="C630">
        <v>5</v>
      </c>
      <c r="D630" t="s">
        <v>55</v>
      </c>
      <c r="E630" t="s">
        <v>26</v>
      </c>
      <c r="F630" t="s">
        <v>23</v>
      </c>
      <c r="G630" t="s">
        <v>35</v>
      </c>
      <c r="H630" t="s">
        <v>12</v>
      </c>
      <c r="I630">
        <v>62.64</v>
      </c>
      <c r="J630" s="8">
        <f t="shared" si="130"/>
        <v>5.153600805774719E-2</v>
      </c>
      <c r="K630" s="8">
        <f t="shared" si="131"/>
        <v>0.73391139022742125</v>
      </c>
      <c r="L630" s="6">
        <f t="shared" si="123"/>
        <v>5.1256008057747188E-2</v>
      </c>
      <c r="M630">
        <f t="shared" si="132"/>
        <v>0.37897991414828952</v>
      </c>
      <c r="N630" s="15">
        <v>2.7999999999999998E-4</v>
      </c>
      <c r="O630" s="8">
        <f>(I630 - MAX(I602:I630)) / MAX(I602:I630)</f>
        <v>0</v>
      </c>
      <c r="P630" s="15">
        <v>-1.4E-3</v>
      </c>
      <c r="Q630">
        <f t="shared" si="133"/>
        <v>-6.9540461028082062E-2</v>
      </c>
      <c r="R630">
        <f t="shared" si="134"/>
        <v>1.6086597367632856E-2</v>
      </c>
      <c r="S630" s="15">
        <f t="shared" si="135"/>
        <v>4.0063650783040763E-2</v>
      </c>
    </row>
    <row r="631" spans="1:19" x14ac:dyDescent="0.3">
      <c r="A631" s="2">
        <v>42887</v>
      </c>
      <c r="B631">
        <v>2017</v>
      </c>
      <c r="C631">
        <v>6</v>
      </c>
      <c r="D631" t="s">
        <v>55</v>
      </c>
      <c r="E631" t="s">
        <v>26</v>
      </c>
      <c r="F631" t="s">
        <v>23</v>
      </c>
      <c r="G631" t="s">
        <v>35</v>
      </c>
      <c r="H631" t="s">
        <v>12</v>
      </c>
      <c r="I631">
        <v>61.17</v>
      </c>
      <c r="J631" s="8">
        <f t="shared" si="130"/>
        <v>-2.3467432950191554E-2</v>
      </c>
      <c r="K631" s="8">
        <f t="shared" si="131"/>
        <v>0.69322094093568576</v>
      </c>
      <c r="L631" s="6">
        <f t="shared" si="123"/>
        <v>-2.3676432950191555E-2</v>
      </c>
      <c r="M631">
        <f t="shared" si="132"/>
        <v>0.25574782129341522</v>
      </c>
      <c r="N631" s="15">
        <v>2.0900000000000001E-4</v>
      </c>
      <c r="O631" s="8">
        <f>(I631 - MAX(I602:I631)) / MAX(I602:I631)</f>
        <v>-2.3467432950191554E-2</v>
      </c>
      <c r="P631" s="15">
        <v>-3.1699999999999999E-2</v>
      </c>
      <c r="Q631">
        <f t="shared" si="133"/>
        <v>0.19918783596938858</v>
      </c>
      <c r="R631">
        <f t="shared" si="134"/>
        <v>7.3847276344361336E-3</v>
      </c>
      <c r="S631" s="15">
        <f t="shared" si="135"/>
        <v>4.1131975051951576E-2</v>
      </c>
    </row>
    <row r="632" spans="1:19" x14ac:dyDescent="0.3">
      <c r="A632" s="2">
        <v>42917</v>
      </c>
      <c r="B632">
        <v>2017</v>
      </c>
      <c r="C632">
        <v>7</v>
      </c>
      <c r="D632" t="s">
        <v>55</v>
      </c>
      <c r="E632" t="s">
        <v>26</v>
      </c>
      <c r="F632" t="s">
        <v>23</v>
      </c>
      <c r="G632" t="s">
        <v>35</v>
      </c>
      <c r="H632" t="s">
        <v>12</v>
      </c>
      <c r="I632">
        <v>64.25</v>
      </c>
      <c r="J632" s="8">
        <f t="shared" si="130"/>
        <v>5.0351479483406868E-2</v>
      </c>
      <c r="K632" s="8">
        <f t="shared" si="131"/>
        <v>0.77847712040408368</v>
      </c>
      <c r="L632" s="6">
        <f t="shared" si="123"/>
        <v>4.9971479483406869E-2</v>
      </c>
      <c r="M632">
        <f t="shared" si="132"/>
        <v>0.31449027910129262</v>
      </c>
      <c r="N632" s="15">
        <v>3.8000000000000002E-4</v>
      </c>
      <c r="O632" s="8">
        <f>(I632 - MAX(I602:I632)) / MAX(I602:I632)</f>
        <v>0</v>
      </c>
      <c r="P632" s="15">
        <v>2.2000000000000001E-3</v>
      </c>
      <c r="Q632">
        <f t="shared" si="133"/>
        <v>0.16079399896349927</v>
      </c>
      <c r="R632">
        <f t="shared" si="134"/>
        <v>1.146791017347564E-2</v>
      </c>
      <c r="S632" s="15">
        <f t="shared" si="135"/>
        <v>4.2708663459172465E-2</v>
      </c>
    </row>
    <row r="633" spans="1:19" x14ac:dyDescent="0.3">
      <c r="A633" s="2">
        <v>42948</v>
      </c>
      <c r="B633">
        <v>2017</v>
      </c>
      <c r="C633">
        <v>8</v>
      </c>
      <c r="D633" t="s">
        <v>55</v>
      </c>
      <c r="E633" t="s">
        <v>26</v>
      </c>
      <c r="F633" t="s">
        <v>23</v>
      </c>
      <c r="G633" t="s">
        <v>35</v>
      </c>
      <c r="H633" t="s">
        <v>12</v>
      </c>
      <c r="I633">
        <v>61.85</v>
      </c>
      <c r="J633" s="8">
        <f t="shared" si="130"/>
        <v>-3.7354085603112819E-2</v>
      </c>
      <c r="K633" s="8">
        <f t="shared" si="131"/>
        <v>0.71204373380533204</v>
      </c>
      <c r="L633" s="6">
        <f t="shared" si="123"/>
        <v>-3.7642085603112815E-2</v>
      </c>
      <c r="M633">
        <f t="shared" si="132"/>
        <v>0.41124562698770123</v>
      </c>
      <c r="N633" s="15">
        <v>2.8800000000000001E-4</v>
      </c>
      <c r="O633" s="8">
        <f>(I633 - MAX(I602:I633)) / MAX(I602:I633)</f>
        <v>-3.7354085603112819E-2</v>
      </c>
      <c r="P633" s="15">
        <v>-8.1000000000000013E-3</v>
      </c>
      <c r="Q633">
        <f t="shared" si="133"/>
        <v>0.24639882454851197</v>
      </c>
      <c r="R633">
        <f t="shared" si="134"/>
        <v>1.3185045852045791E-2</v>
      </c>
      <c r="S633" s="15">
        <f t="shared" si="135"/>
        <v>3.8414305753536944E-2</v>
      </c>
    </row>
    <row r="634" spans="1:19" x14ac:dyDescent="0.3">
      <c r="A634" s="2">
        <v>42979</v>
      </c>
      <c r="B634">
        <v>2017</v>
      </c>
      <c r="C634">
        <v>9</v>
      </c>
      <c r="D634" t="s">
        <v>55</v>
      </c>
      <c r="E634" t="s">
        <v>26</v>
      </c>
      <c r="F634" t="s">
        <v>23</v>
      </c>
      <c r="G634" t="s">
        <v>35</v>
      </c>
      <c r="H634" t="s">
        <v>12</v>
      </c>
      <c r="I634">
        <v>64.48</v>
      </c>
      <c r="J634" s="8">
        <f t="shared" si="130"/>
        <v>4.2522231204527125E-2</v>
      </c>
      <c r="K634" s="8">
        <f t="shared" si="131"/>
        <v>0.78484365328646399</v>
      </c>
      <c r="L634" s="6">
        <f t="shared" si="123"/>
        <v>4.2233231204527127E-2</v>
      </c>
      <c r="M634">
        <f t="shared" si="132"/>
        <v>0.62547479777688542</v>
      </c>
      <c r="N634" s="15">
        <v>2.8899999999999998E-4</v>
      </c>
      <c r="O634" s="8">
        <f>(I634 - MAX(I602:I634)) / MAX(I602:I634)</f>
        <v>0</v>
      </c>
      <c r="P634" s="15">
        <v>5.0700000000000002E-2</v>
      </c>
      <c r="Q634">
        <f t="shared" si="133"/>
        <v>0.20671847237102636</v>
      </c>
      <c r="R634">
        <f t="shared" si="134"/>
        <v>1.9028085285354265E-2</v>
      </c>
      <c r="S634" s="15">
        <f t="shared" si="135"/>
        <v>3.5502744154164018E-2</v>
      </c>
    </row>
    <row r="635" spans="1:19" x14ac:dyDescent="0.3">
      <c r="A635" s="2">
        <v>43009</v>
      </c>
      <c r="B635">
        <v>2017</v>
      </c>
      <c r="C635">
        <v>10</v>
      </c>
      <c r="D635" t="s">
        <v>55</v>
      </c>
      <c r="E635" t="s">
        <v>26</v>
      </c>
      <c r="F635" t="s">
        <v>23</v>
      </c>
      <c r="G635" t="s">
        <v>35</v>
      </c>
      <c r="H635" t="s">
        <v>12</v>
      </c>
      <c r="I635">
        <v>64.709999999999994</v>
      </c>
      <c r="J635" s="8">
        <f t="shared" ref="J635:J666" si="136">(I635-I634)/I634</f>
        <v>3.5669975186102629E-3</v>
      </c>
      <c r="K635" s="8">
        <f t="shared" ref="K635:K666" si="137">(K634+1)*(J635+1)-1</f>
        <v>0.79121018616884431</v>
      </c>
      <c r="L635" s="6">
        <f t="shared" si="123"/>
        <v>3.256997518610263E-3</v>
      </c>
      <c r="M635">
        <f t="shared" si="132"/>
        <v>0.67433229335188338</v>
      </c>
      <c r="N635" s="15">
        <v>3.1E-4</v>
      </c>
      <c r="O635" s="8">
        <f>(I635 - MAX(I602:I635)) / MAX(I602:I635)</f>
        <v>0</v>
      </c>
      <c r="P635" s="15">
        <v>1.8700000000000001E-2</v>
      </c>
      <c r="Q635">
        <f t="shared" si="133"/>
        <v>0.20737266436764498</v>
      </c>
      <c r="R635">
        <f t="shared" si="134"/>
        <v>2.0115342018719059E-2</v>
      </c>
      <c r="S635" s="15">
        <f t="shared" si="135"/>
        <v>3.457545248025129E-2</v>
      </c>
    </row>
    <row r="636" spans="1:19" x14ac:dyDescent="0.3">
      <c r="A636" s="2">
        <v>43040</v>
      </c>
      <c r="B636">
        <v>2017</v>
      </c>
      <c r="C636">
        <v>11</v>
      </c>
      <c r="D636" t="s">
        <v>55</v>
      </c>
      <c r="E636" t="s">
        <v>26</v>
      </c>
      <c r="F636" t="s">
        <v>23</v>
      </c>
      <c r="G636" t="s">
        <v>35</v>
      </c>
      <c r="H636" t="s">
        <v>12</v>
      </c>
      <c r="I636">
        <v>65.72</v>
      </c>
      <c r="J636" s="8">
        <f t="shared" si="136"/>
        <v>1.5608097666512211E-2</v>
      </c>
      <c r="K636" s="8">
        <f t="shared" si="137"/>
        <v>0.81916756969581916</v>
      </c>
      <c r="L636" s="6">
        <f t="shared" si="123"/>
        <v>1.5351097666512211E-2</v>
      </c>
      <c r="M636">
        <f t="shared" si="132"/>
        <v>0.59965611797140361</v>
      </c>
      <c r="N636" s="15">
        <v>2.5700000000000001E-4</v>
      </c>
      <c r="O636" s="8">
        <f>(I636 - MAX(I602:I636)) / MAX(I602:I636)</f>
        <v>0</v>
      </c>
      <c r="P636" s="15">
        <v>-2.52E-2</v>
      </c>
      <c r="Q636">
        <f t="shared" si="133"/>
        <v>0.25471048096486648</v>
      </c>
      <c r="R636">
        <f t="shared" si="134"/>
        <v>1.5993171009353418E-2</v>
      </c>
      <c r="S636" s="15">
        <f t="shared" si="135"/>
        <v>3.2372101255535149E-2</v>
      </c>
    </row>
    <row r="637" spans="1:19" x14ac:dyDescent="0.3">
      <c r="A637" s="2">
        <v>43070</v>
      </c>
      <c r="B637">
        <v>2017</v>
      </c>
      <c r="C637">
        <v>12</v>
      </c>
      <c r="D637" t="s">
        <v>55</v>
      </c>
      <c r="E637" t="s">
        <v>26</v>
      </c>
      <c r="F637" t="s">
        <v>23</v>
      </c>
      <c r="G637" t="s">
        <v>35</v>
      </c>
      <c r="H637" t="s">
        <v>12</v>
      </c>
      <c r="I637">
        <v>65.569999999999993</v>
      </c>
      <c r="J637" s="8">
        <f t="shared" si="136"/>
        <v>-2.2824102251978954E-3</v>
      </c>
      <c r="K637" s="8">
        <f t="shared" si="137"/>
        <v>0.81501548303339688</v>
      </c>
      <c r="L637" s="6">
        <f t="shared" si="123"/>
        <v>-2.5294102251978952E-3</v>
      </c>
      <c r="M637">
        <f t="shared" si="132"/>
        <v>0.5425800965292128</v>
      </c>
      <c r="N637" s="15">
        <v>2.4699999999999999E-4</v>
      </c>
      <c r="O637" s="8">
        <f>(I637 - MAX(I602:I637)) / MAX(I602:I637)</f>
        <v>-2.2824102251978954E-3</v>
      </c>
      <c r="P637" s="15">
        <v>-1.8499999999999999E-2</v>
      </c>
      <c r="Q637">
        <f t="shared" si="133"/>
        <v>0.45641288131940622</v>
      </c>
      <c r="R637">
        <f t="shared" si="134"/>
        <v>1.5453344574317431E-2</v>
      </c>
      <c r="S637" s="15">
        <f t="shared" si="135"/>
        <v>3.2984252299918644E-2</v>
      </c>
    </row>
    <row r="638" spans="1:19" x14ac:dyDescent="0.3">
      <c r="A638" s="2">
        <v>43101</v>
      </c>
      <c r="B638">
        <v>2018</v>
      </c>
      <c r="C638">
        <v>1</v>
      </c>
      <c r="D638" t="s">
        <v>55</v>
      </c>
      <c r="E638" t="s">
        <v>26</v>
      </c>
      <c r="F638" t="s">
        <v>23</v>
      </c>
      <c r="G638" t="s">
        <v>35</v>
      </c>
      <c r="H638" t="s">
        <v>12</v>
      </c>
      <c r="I638">
        <v>70.42</v>
      </c>
      <c r="J638" s="8">
        <f t="shared" si="136"/>
        <v>7.3966753088302709E-2</v>
      </c>
      <c r="K638" s="8">
        <f t="shared" si="137"/>
        <v>0.94926628511837485</v>
      </c>
      <c r="L638" s="6">
        <f t="shared" si="123"/>
        <v>7.3571753088302702E-2</v>
      </c>
      <c r="M638">
        <f t="shared" si="132"/>
        <v>0.63291125232745404</v>
      </c>
      <c r="N638" s="15">
        <v>3.9500000000000001E-4</v>
      </c>
      <c r="O638" s="8">
        <f>(I638 - MAX(I602:I638)) / MAX(I602:I638)</f>
        <v>0</v>
      </c>
      <c r="P638" s="15">
        <v>3.0099999999999998E-2</v>
      </c>
      <c r="Q638">
        <f t="shared" si="133"/>
        <v>0.57184029086990429</v>
      </c>
      <c r="R638">
        <f t="shared" si="134"/>
        <v>1.7781497749273567E-2</v>
      </c>
      <c r="S638" s="15">
        <f t="shared" si="135"/>
        <v>3.6554015581458536E-2</v>
      </c>
    </row>
    <row r="639" spans="1:19" x14ac:dyDescent="0.3">
      <c r="A639" s="2">
        <v>43132</v>
      </c>
      <c r="B639">
        <v>2018</v>
      </c>
      <c r="C639">
        <v>2</v>
      </c>
      <c r="D639" t="s">
        <v>55</v>
      </c>
      <c r="E639" t="s">
        <v>26</v>
      </c>
      <c r="F639" t="s">
        <v>23</v>
      </c>
      <c r="G639" t="s">
        <v>35</v>
      </c>
      <c r="H639" t="s">
        <v>12</v>
      </c>
      <c r="I639">
        <v>71.69</v>
      </c>
      <c r="J639" s="8">
        <f t="shared" si="136"/>
        <v>1.8034649247372848E-2</v>
      </c>
      <c r="K639" s="8">
        <f t="shared" si="137"/>
        <v>0.98442061886021426</v>
      </c>
      <c r="L639" s="6">
        <f t="shared" si="123"/>
        <v>1.7485649247372847E-2</v>
      </c>
      <c r="M639">
        <f t="shared" si="132"/>
        <v>0.56059311389124222</v>
      </c>
      <c r="N639" s="15">
        <v>5.4900000000000001E-4</v>
      </c>
      <c r="O639" s="8">
        <f>(I639 - MAX(I602:I639)) / MAX(I602:I639)</f>
        <v>0</v>
      </c>
      <c r="P639" s="15">
        <v>-4.7199999999999999E-2</v>
      </c>
      <c r="Q639">
        <f t="shared" si="133"/>
        <v>0.36284715775735837</v>
      </c>
      <c r="R639">
        <f t="shared" si="134"/>
        <v>1.7308119114331947E-2</v>
      </c>
      <c r="S639" s="15">
        <f t="shared" si="135"/>
        <v>3.2887512963649806E-2</v>
      </c>
    </row>
    <row r="640" spans="1:19" x14ac:dyDescent="0.3">
      <c r="A640" s="2">
        <v>43160</v>
      </c>
      <c r="B640">
        <v>2018</v>
      </c>
      <c r="C640">
        <v>3</v>
      </c>
      <c r="D640" t="s">
        <v>55</v>
      </c>
      <c r="E640" t="s">
        <v>26</v>
      </c>
      <c r="F640" t="s">
        <v>23</v>
      </c>
      <c r="G640" t="s">
        <v>35</v>
      </c>
      <c r="H640" t="s">
        <v>12</v>
      </c>
      <c r="I640">
        <v>71.31</v>
      </c>
      <c r="J640" s="8">
        <f t="shared" si="136"/>
        <v>-5.3005998047146808E-3</v>
      </c>
      <c r="K640" s="8">
        <f t="shared" si="137"/>
        <v>0.9739019993154121</v>
      </c>
      <c r="L640" s="6">
        <f t="shared" si="123"/>
        <v>-5.7415998047146803E-3</v>
      </c>
      <c r="M640">
        <f t="shared" si="132"/>
        <v>0.54460005373737985</v>
      </c>
      <c r="N640" s="15">
        <v>4.4099999999999999E-4</v>
      </c>
      <c r="O640" s="8">
        <f>(I640 - MAX(I602:I640)) / MAX(I602:I640)</f>
        <v>-5.3005998047146808E-3</v>
      </c>
      <c r="P640" s="15">
        <v>-2.2499999999999999E-2</v>
      </c>
      <c r="Q640">
        <f t="shared" si="133"/>
        <v>0.64559600543712203</v>
      </c>
      <c r="R640">
        <f t="shared" si="134"/>
        <v>2.020280801767458E-2</v>
      </c>
      <c r="S640" s="15">
        <f t="shared" si="135"/>
        <v>3.3151715257243634E-2</v>
      </c>
    </row>
    <row r="641" spans="1:19" x14ac:dyDescent="0.3">
      <c r="A641" s="2">
        <v>43191</v>
      </c>
      <c r="B641">
        <v>2018</v>
      </c>
      <c r="C641">
        <v>4</v>
      </c>
      <c r="D641" t="s">
        <v>55</v>
      </c>
      <c r="E641" t="s">
        <v>26</v>
      </c>
      <c r="F641" t="s">
        <v>23</v>
      </c>
      <c r="G641" t="s">
        <v>35</v>
      </c>
      <c r="H641" t="s">
        <v>12</v>
      </c>
      <c r="I641">
        <v>70.86</v>
      </c>
      <c r="J641" s="8">
        <f t="shared" si="136"/>
        <v>-6.3104753891460221E-3</v>
      </c>
      <c r="K641" s="8">
        <f t="shared" si="137"/>
        <v>0.96144573932814614</v>
      </c>
      <c r="L641" s="6">
        <f t="shared" si="123"/>
        <v>-6.7104753891460223E-3</v>
      </c>
      <c r="M641">
        <f t="shared" si="132"/>
        <v>0.43986150648462519</v>
      </c>
      <c r="N641" s="15">
        <v>4.0000000000000002E-4</v>
      </c>
      <c r="O641" s="8">
        <f>(I641 - MAX(I602:I641)) / MAX(I602:I641)</f>
        <v>-1.1577625889245338E-2</v>
      </c>
      <c r="P641" s="15">
        <v>5.21E-2</v>
      </c>
      <c r="Q641">
        <f t="shared" si="133"/>
        <v>0.36492329255126721</v>
      </c>
      <c r="R641">
        <f t="shared" si="134"/>
        <v>1.4882855470543931E-2</v>
      </c>
      <c r="S641" s="15">
        <f t="shared" si="135"/>
        <v>3.3500357439646557E-2</v>
      </c>
    </row>
    <row r="642" spans="1:19" x14ac:dyDescent="0.3">
      <c r="A642" s="2">
        <v>43221</v>
      </c>
      <c r="B642">
        <v>2018</v>
      </c>
      <c r="C642">
        <v>5</v>
      </c>
      <c r="D642" t="s">
        <v>55</v>
      </c>
      <c r="E642" t="s">
        <v>26</v>
      </c>
      <c r="F642" t="s">
        <v>23</v>
      </c>
      <c r="G642" t="s">
        <v>35</v>
      </c>
      <c r="H642" t="s">
        <v>12</v>
      </c>
      <c r="I642">
        <v>72.599999999999994</v>
      </c>
      <c r="J642" s="8">
        <f t="shared" si="136"/>
        <v>2.4555461473327617E-2</v>
      </c>
      <c r="K642" s="8">
        <f t="shared" si="137"/>
        <v>1.0096099446122411</v>
      </c>
      <c r="L642" s="6">
        <f t="shared" ref="L642:L705" si="138">J642-N642</f>
        <v>2.4180461473327617E-2</v>
      </c>
      <c r="M642">
        <f t="shared" si="132"/>
        <v>0.39382835742915506</v>
      </c>
      <c r="N642" s="15">
        <v>3.7500000000000001E-4</v>
      </c>
      <c r="O642" s="8">
        <f>(I642 - MAX(I602:I642)) / MAX(I602:I642)</f>
        <v>0</v>
      </c>
      <c r="P642" s="15">
        <v>-3.6700000000000003E-2</v>
      </c>
      <c r="Q642">
        <f t="shared" si="133"/>
        <v>0.29892382941188383</v>
      </c>
      <c r="R642">
        <f t="shared" si="134"/>
        <v>1.3481613383769242E-2</v>
      </c>
      <c r="S642" s="15">
        <f t="shared" si="135"/>
        <v>3.1686956784770341E-2</v>
      </c>
    </row>
    <row r="643" spans="1:19" x14ac:dyDescent="0.3">
      <c r="A643" s="2">
        <v>43252</v>
      </c>
      <c r="B643">
        <v>2018</v>
      </c>
      <c r="C643">
        <v>6</v>
      </c>
      <c r="D643" t="s">
        <v>55</v>
      </c>
      <c r="E643" t="s">
        <v>26</v>
      </c>
      <c r="F643" t="s">
        <v>23</v>
      </c>
      <c r="G643" t="s">
        <v>35</v>
      </c>
      <c r="H643" t="s">
        <v>12</v>
      </c>
      <c r="I643">
        <v>74.09</v>
      </c>
      <c r="J643" s="8">
        <f t="shared" si="136"/>
        <v>2.0523415977961559E-2</v>
      </c>
      <c r="K643" s="8">
        <f t="shared" si="137"/>
        <v>1.0508540054589663</v>
      </c>
      <c r="L643" s="6">
        <f t="shared" si="138"/>
        <v>2.025041597796156E-2</v>
      </c>
      <c r="M643">
        <f t="shared" si="132"/>
        <v>0.54560693732130128</v>
      </c>
      <c r="N643" s="15">
        <v>2.7300000000000002E-4</v>
      </c>
      <c r="O643" s="8">
        <f>(I643 - MAX(I602:I643)) / MAX(I602:I643)</f>
        <v>0</v>
      </c>
      <c r="P643" s="15">
        <v>-3.2000000000000002E-3</v>
      </c>
      <c r="Q643">
        <f t="shared" si="133"/>
        <v>0.22346848884685197</v>
      </c>
      <c r="R643">
        <f t="shared" si="134"/>
        <v>1.6359611390016501E-2</v>
      </c>
      <c r="S643" s="15">
        <f t="shared" si="135"/>
        <v>2.9581355702196568E-2</v>
      </c>
    </row>
    <row r="644" spans="1:19" x14ac:dyDescent="0.3">
      <c r="A644" s="2">
        <v>43282</v>
      </c>
      <c r="B644">
        <v>2018</v>
      </c>
      <c r="C644">
        <v>7</v>
      </c>
      <c r="D644" t="s">
        <v>55</v>
      </c>
      <c r="E644" t="s">
        <v>26</v>
      </c>
      <c r="F644" t="s">
        <v>23</v>
      </c>
      <c r="G644" t="s">
        <v>35</v>
      </c>
      <c r="H644" t="s">
        <v>12</v>
      </c>
      <c r="I644">
        <v>75.48</v>
      </c>
      <c r="J644" s="8">
        <f t="shared" si="136"/>
        <v>1.8760966392225679E-2</v>
      </c>
      <c r="K644" s="8">
        <f t="shared" si="137"/>
        <v>1.0893300085307436</v>
      </c>
      <c r="L644" s="6">
        <f t="shared" si="138"/>
        <v>1.8531966392225679E-2</v>
      </c>
      <c r="M644">
        <f t="shared" si="132"/>
        <v>0.48921701391788425</v>
      </c>
      <c r="N644" s="15">
        <v>2.2900000000000001E-4</v>
      </c>
      <c r="O644" s="8">
        <f>(I644 - MAX(I602:I644)) / MAX(I602:I644)</f>
        <v>0</v>
      </c>
      <c r="P644" s="15">
        <v>3.8300000000000001E-2</v>
      </c>
      <c r="Q644">
        <f t="shared" si="133"/>
        <v>0.20624595757582279</v>
      </c>
      <c r="R644">
        <f t="shared" si="134"/>
        <v>1.3099658885151038E-2</v>
      </c>
      <c r="S644" s="15">
        <f t="shared" si="135"/>
        <v>2.7635656728185062E-2</v>
      </c>
    </row>
    <row r="645" spans="1:19" x14ac:dyDescent="0.3">
      <c r="A645" s="2">
        <v>43313</v>
      </c>
      <c r="B645">
        <v>2018</v>
      </c>
      <c r="C645">
        <v>8</v>
      </c>
      <c r="D645" t="s">
        <v>55</v>
      </c>
      <c r="E645" t="s">
        <v>26</v>
      </c>
      <c r="F645" t="s">
        <v>23</v>
      </c>
      <c r="G645" t="s">
        <v>35</v>
      </c>
      <c r="H645" t="s">
        <v>12</v>
      </c>
      <c r="I645">
        <v>80.069999999999993</v>
      </c>
      <c r="J645" s="8">
        <f t="shared" si="136"/>
        <v>6.0810810810810662E-2</v>
      </c>
      <c r="K645" s="8">
        <f t="shared" si="137"/>
        <v>1.2163838604008563</v>
      </c>
      <c r="L645" s="6">
        <f t="shared" si="138"/>
        <v>6.0568810810810662E-2</v>
      </c>
      <c r="M645">
        <f t="shared" ref="M645:M676" si="139">(AVERAGE(J634:J645)-AVERAGE(N634:N645))/STDEV(J634:J645)</f>
        <v>0.84952549339621541</v>
      </c>
      <c r="N645" s="15">
        <v>2.42E-4</v>
      </c>
      <c r="O645" s="8">
        <f>(I645 - MAX(I602:I645)) / MAX(I602:I645)</f>
        <v>0</v>
      </c>
      <c r="P645" s="15">
        <v>-3.7599999999999988E-2</v>
      </c>
      <c r="Q645">
        <f t="shared" ref="Q645:Q676" si="140" xml:space="preserve"> _xlfn.COVARIANCE.P(J634:J645, P634:P645) / _xlfn.VAR.P(P634:P645)</f>
        <v>3.6189089490813647E-2</v>
      </c>
      <c r="R645">
        <f t="shared" ref="R645:R676" si="141">AVERAGE(J634:J645)-(AVERAGE(N634:N645)+Q645*(AVERAGE(P634:P645)-AVERAGE(N634:N645)))</f>
        <v>2.1719174727639384E-2</v>
      </c>
      <c r="S645" s="15">
        <f t="shared" ref="S645:S676" si="142">STDEV(J634:J645)</f>
        <v>2.5548467937414381E-2</v>
      </c>
    </row>
    <row r="646" spans="1:19" x14ac:dyDescent="0.3">
      <c r="A646" s="2">
        <v>43344</v>
      </c>
      <c r="B646">
        <v>2018</v>
      </c>
      <c r="C646">
        <v>9</v>
      </c>
      <c r="D646" t="s">
        <v>55</v>
      </c>
      <c r="E646" t="s">
        <v>26</v>
      </c>
      <c r="F646" t="s">
        <v>23</v>
      </c>
      <c r="G646" t="s">
        <v>35</v>
      </c>
      <c r="H646" t="s">
        <v>12</v>
      </c>
      <c r="I646">
        <v>82.38</v>
      </c>
      <c r="J646" s="8">
        <f t="shared" si="136"/>
        <v>2.8849756463094824E-2</v>
      </c>
      <c r="K646" s="8">
        <f t="shared" si="137"/>
        <v>1.2803259950021548</v>
      </c>
      <c r="L646" s="6">
        <f t="shared" si="138"/>
        <v>2.8540756463094823E-2</v>
      </c>
      <c r="M646">
        <f t="shared" si="139"/>
        <v>0.82758155456275972</v>
      </c>
      <c r="N646" s="15">
        <v>3.0899999999999998E-4</v>
      </c>
      <c r="O646" s="8">
        <f>(I646 - MAX(I602:I646)) / MAX(I602:I646)</f>
        <v>0</v>
      </c>
      <c r="P646" s="15">
        <v>1.9E-3</v>
      </c>
      <c r="Q646">
        <f t="shared" si="140"/>
        <v>-4.7624715188947037E-2</v>
      </c>
      <c r="R646">
        <f t="shared" si="141"/>
        <v>2.0349410639557031E-2</v>
      </c>
      <c r="S646" s="15">
        <f t="shared" si="142"/>
        <v>2.4847140629091824E-2</v>
      </c>
    </row>
    <row r="647" spans="1:19" x14ac:dyDescent="0.3">
      <c r="A647" s="2">
        <v>43374</v>
      </c>
      <c r="B647">
        <v>2018</v>
      </c>
      <c r="C647">
        <v>10</v>
      </c>
      <c r="D647" t="s">
        <v>55</v>
      </c>
      <c r="E647" t="s">
        <v>26</v>
      </c>
      <c r="F647" t="s">
        <v>23</v>
      </c>
      <c r="G647" t="s">
        <v>35</v>
      </c>
      <c r="H647" t="s">
        <v>12</v>
      </c>
      <c r="I647">
        <v>79.3</v>
      </c>
      <c r="J647" s="8">
        <f t="shared" si="136"/>
        <v>-3.7387715464918654E-2</v>
      </c>
      <c r="K647" s="8">
        <f t="shared" si="137"/>
        <v>1.1950698155337567</v>
      </c>
      <c r="L647" s="6">
        <f t="shared" si="138"/>
        <v>-3.7720715464918654E-2</v>
      </c>
      <c r="M647">
        <f t="shared" si="139"/>
        <v>0.57603729832327955</v>
      </c>
      <c r="N647" s="15">
        <v>3.3300000000000002E-4</v>
      </c>
      <c r="O647" s="8">
        <f>(I647 - MAX(I602:I647)) / MAX(I602:I647)</f>
        <v>-3.7387715464918654E-2</v>
      </c>
      <c r="P647" s="15">
        <v>-5.9299999999999999E-2</v>
      </c>
      <c r="Q647">
        <f t="shared" si="140"/>
        <v>0.20295806106938177</v>
      </c>
      <c r="R647">
        <f t="shared" si="141"/>
        <v>1.9378227548969069E-2</v>
      </c>
      <c r="S647" s="15">
        <f t="shared" si="142"/>
        <v>2.9769297757079319E-2</v>
      </c>
    </row>
    <row r="648" spans="1:19" x14ac:dyDescent="0.3">
      <c r="A648" s="2">
        <v>43405</v>
      </c>
      <c r="B648">
        <v>2018</v>
      </c>
      <c r="C648">
        <v>11</v>
      </c>
      <c r="D648" t="s">
        <v>55</v>
      </c>
      <c r="E648" t="s">
        <v>26</v>
      </c>
      <c r="F648" t="s">
        <v>23</v>
      </c>
      <c r="G648" t="s">
        <v>35</v>
      </c>
      <c r="H648" t="s">
        <v>12</v>
      </c>
      <c r="I648">
        <v>79.13</v>
      </c>
      <c r="J648" s="8">
        <f t="shared" si="136"/>
        <v>-2.1437578814628212E-3</v>
      </c>
      <c r="K648" s="8">
        <f t="shared" si="137"/>
        <v>1.1903641173163453</v>
      </c>
      <c r="L648" s="6">
        <f t="shared" si="138"/>
        <v>-2.4057578814628213E-3</v>
      </c>
      <c r="M648">
        <f t="shared" si="139"/>
        <v>0.51698736796111544</v>
      </c>
      <c r="N648" s="15">
        <v>2.6200000000000003E-4</v>
      </c>
      <c r="O648" s="8">
        <f>(I648 - MAX(I602:I648)) / MAX(I602:I648)</f>
        <v>-3.9451323136683661E-2</v>
      </c>
      <c r="P648" s="15">
        <v>-7.6E-3</v>
      </c>
      <c r="Q648">
        <f t="shared" si="140"/>
        <v>0.20185915816881841</v>
      </c>
      <c r="R648">
        <f t="shared" si="141"/>
        <v>1.7590439400352847E-2</v>
      </c>
      <c r="S648" s="15">
        <f t="shared" si="142"/>
        <v>3.0307293488487073E-2</v>
      </c>
    </row>
    <row r="649" spans="1:19" x14ac:dyDescent="0.3">
      <c r="A649" s="2">
        <v>43435</v>
      </c>
      <c r="B649">
        <v>2018</v>
      </c>
      <c r="C649">
        <v>12</v>
      </c>
      <c r="D649" t="s">
        <v>55</v>
      </c>
      <c r="E649" t="s">
        <v>26</v>
      </c>
      <c r="F649" t="s">
        <v>23</v>
      </c>
      <c r="G649" t="s">
        <v>35</v>
      </c>
      <c r="H649" t="s">
        <v>12</v>
      </c>
      <c r="I649">
        <v>73.489999999999995</v>
      </c>
      <c r="J649" s="8">
        <f t="shared" si="136"/>
        <v>-7.1275116896246687E-2</v>
      </c>
      <c r="K649" s="8">
        <f t="shared" si="137"/>
        <v>1.0342456588092785</v>
      </c>
      <c r="L649" s="6">
        <f t="shared" si="138"/>
        <v>-7.1431116896246691E-2</v>
      </c>
      <c r="M649">
        <f t="shared" si="139"/>
        <v>0.25257699755502799</v>
      </c>
      <c r="N649" s="15">
        <v>1.56E-4</v>
      </c>
      <c r="O649" s="8">
        <f>(I649 - MAX(I602:I649)) / MAX(I602:I649)</f>
        <v>-0.10791454236465163</v>
      </c>
      <c r="P649" s="15">
        <v>-5.8799999999999998E-2</v>
      </c>
      <c r="Q649">
        <f t="shared" si="140"/>
        <v>0.42272403596944647</v>
      </c>
      <c r="R649">
        <f t="shared" si="141"/>
        <v>1.5367982792382632E-2</v>
      </c>
      <c r="S649" s="15">
        <f t="shared" si="142"/>
        <v>3.9301595543043188E-2</v>
      </c>
    </row>
    <row r="650" spans="1:19" x14ac:dyDescent="0.3">
      <c r="A650" s="2">
        <v>43466</v>
      </c>
      <c r="B650">
        <v>2019</v>
      </c>
      <c r="C650">
        <v>1</v>
      </c>
      <c r="D650" t="s">
        <v>55</v>
      </c>
      <c r="E650" t="s">
        <v>26</v>
      </c>
      <c r="F650" t="s">
        <v>23</v>
      </c>
      <c r="G650" t="s">
        <v>35</v>
      </c>
      <c r="H650" t="s">
        <v>12</v>
      </c>
      <c r="I650">
        <v>82.93</v>
      </c>
      <c r="J650" s="8">
        <f t="shared" si="136"/>
        <v>0.12845285072799037</v>
      </c>
      <c r="K650" s="8">
        <f t="shared" si="137"/>
        <v>1.295550312764369</v>
      </c>
      <c r="L650" s="6">
        <f t="shared" si="138"/>
        <v>0.12834185072799037</v>
      </c>
      <c r="M650">
        <f t="shared" si="139"/>
        <v>0.2943766896293602</v>
      </c>
      <c r="N650" s="15">
        <v>1.11E-4</v>
      </c>
      <c r="O650" s="8">
        <f>(I650 - MAX(I602:I650)) / MAX(I602:I650)</f>
        <v>0</v>
      </c>
      <c r="P650" s="15">
        <v>5.79E-2</v>
      </c>
      <c r="Q650">
        <f t="shared" si="140"/>
        <v>0.64490435641153343</v>
      </c>
      <c r="R650">
        <f t="shared" si="141"/>
        <v>2.1282771518298691E-2</v>
      </c>
      <c r="S650" s="15">
        <f t="shared" si="142"/>
        <v>4.9225547793665905E-2</v>
      </c>
    </row>
    <row r="651" spans="1:19" x14ac:dyDescent="0.3">
      <c r="A651" s="2">
        <v>43497</v>
      </c>
      <c r="B651">
        <v>2019</v>
      </c>
      <c r="C651">
        <v>2</v>
      </c>
      <c r="D651" t="s">
        <v>55</v>
      </c>
      <c r="E651" t="s">
        <v>26</v>
      </c>
      <c r="F651" t="s">
        <v>23</v>
      </c>
      <c r="G651" t="s">
        <v>35</v>
      </c>
      <c r="H651" t="s">
        <v>12</v>
      </c>
      <c r="I651">
        <v>84.69</v>
      </c>
      <c r="J651" s="8">
        <f t="shared" si="136"/>
        <v>2.1222717954901611E-2</v>
      </c>
      <c r="K651" s="8">
        <f t="shared" si="137"/>
        <v>1.3442681296034533</v>
      </c>
      <c r="L651" s="6">
        <f t="shared" si="138"/>
        <v>2.117671795490161E-2</v>
      </c>
      <c r="M651">
        <f t="shared" si="139"/>
        <v>0.30045646124172493</v>
      </c>
      <c r="N651" s="15">
        <v>4.6E-5</v>
      </c>
      <c r="O651" s="8">
        <f>(I651 - MAX(I602:I651)) / MAX(I602:I651)</f>
        <v>0</v>
      </c>
      <c r="P651" s="15">
        <v>4.3899999999999988E-2</v>
      </c>
      <c r="Q651">
        <f t="shared" si="140"/>
        <v>0.63889598526320135</v>
      </c>
      <c r="R651">
        <f t="shared" si="141"/>
        <v>1.6650016670276817E-2</v>
      </c>
      <c r="S651" s="15">
        <f t="shared" si="142"/>
        <v>4.9253202285925307E-2</v>
      </c>
    </row>
    <row r="652" spans="1:19" x14ac:dyDescent="0.3">
      <c r="A652" s="2">
        <v>43525</v>
      </c>
      <c r="B652">
        <v>2019</v>
      </c>
      <c r="C652">
        <v>3</v>
      </c>
      <c r="D652" t="s">
        <v>55</v>
      </c>
      <c r="E652" t="s">
        <v>26</v>
      </c>
      <c r="F652" t="s">
        <v>23</v>
      </c>
      <c r="G652" t="s">
        <v>35</v>
      </c>
      <c r="H652" t="s">
        <v>12</v>
      </c>
      <c r="I652">
        <v>88.28</v>
      </c>
      <c r="J652" s="8">
        <f t="shared" si="136"/>
        <v>4.2389892549297481E-2</v>
      </c>
      <c r="K652" s="8">
        <f t="shared" si="137"/>
        <v>1.4436414037240866</v>
      </c>
      <c r="L652" s="6">
        <f t="shared" si="138"/>
        <v>4.2380892549297479E-2</v>
      </c>
      <c r="M652">
        <f t="shared" si="139"/>
        <v>0.38086089995023042</v>
      </c>
      <c r="N652" s="15">
        <v>9.0000000000000002E-6</v>
      </c>
      <c r="O652" s="8">
        <f>(I652 - MAX(I602:I652)) / MAX(I602:I652)</f>
        <v>0</v>
      </c>
      <c r="P652" s="15">
        <v>1.6199999999999999E-2</v>
      </c>
      <c r="Q652">
        <f t="shared" si="140"/>
        <v>0.64204977195516755</v>
      </c>
      <c r="R652">
        <f t="shared" si="141"/>
        <v>1.8575639996747571E-2</v>
      </c>
      <c r="S652" s="15">
        <f t="shared" si="142"/>
        <v>4.9384566812391305E-2</v>
      </c>
    </row>
    <row r="653" spans="1:19" x14ac:dyDescent="0.3">
      <c r="A653" s="2">
        <v>43556</v>
      </c>
      <c r="B653">
        <v>2019</v>
      </c>
      <c r="C653">
        <v>4</v>
      </c>
      <c r="D653" t="s">
        <v>55</v>
      </c>
      <c r="E653" t="s">
        <v>26</v>
      </c>
      <c r="F653" t="s">
        <v>23</v>
      </c>
      <c r="G653" t="s">
        <v>35</v>
      </c>
      <c r="H653" t="s">
        <v>12</v>
      </c>
      <c r="I653">
        <v>87.24</v>
      </c>
      <c r="J653" s="8">
        <f t="shared" si="136"/>
        <v>-1.1780697779791642E-2</v>
      </c>
      <c r="K653" s="8">
        <f t="shared" si="137"/>
        <v>1.4148536028646275</v>
      </c>
      <c r="L653" s="6">
        <f t="shared" si="138"/>
        <v>-1.1747697779791642E-2</v>
      </c>
      <c r="M653">
        <f t="shared" si="139"/>
        <v>0.37026381579399087</v>
      </c>
      <c r="N653" s="15">
        <v>-3.3000000000000003E-5</v>
      </c>
      <c r="O653" s="8">
        <f>(I653 - MAX(I602:I653)) / MAX(I602:I653)</f>
        <v>-1.1780697779791642E-2</v>
      </c>
      <c r="P653" s="15">
        <v>4.8599999999999997E-2</v>
      </c>
      <c r="Q653">
        <f t="shared" si="140"/>
        <v>0.64459422779891518</v>
      </c>
      <c r="R653">
        <f t="shared" si="141"/>
        <v>1.8319695580148745E-2</v>
      </c>
      <c r="S653" s="15">
        <f t="shared" si="142"/>
        <v>4.9664269752724428E-2</v>
      </c>
    </row>
    <row r="654" spans="1:19" x14ac:dyDescent="0.3">
      <c r="A654" s="2">
        <v>43586</v>
      </c>
      <c r="B654">
        <v>2019</v>
      </c>
      <c r="C654">
        <v>5</v>
      </c>
      <c r="D654" t="s">
        <v>55</v>
      </c>
      <c r="E654" t="s">
        <v>26</v>
      </c>
      <c r="F654" t="s">
        <v>23</v>
      </c>
      <c r="G654" t="s">
        <v>35</v>
      </c>
      <c r="H654" t="s">
        <v>12</v>
      </c>
      <c r="I654">
        <v>85.86</v>
      </c>
      <c r="J654" s="8">
        <f t="shared" si="136"/>
        <v>-1.5818431911966937E-2</v>
      </c>
      <c r="K654" s="8">
        <f t="shared" si="137"/>
        <v>1.3766544055703451</v>
      </c>
      <c r="L654" s="6">
        <f t="shared" si="138"/>
        <v>-1.5706431911966936E-2</v>
      </c>
      <c r="M654">
        <f t="shared" si="139"/>
        <v>0.2978335372909276</v>
      </c>
      <c r="N654" s="15">
        <v>-1.12E-4</v>
      </c>
      <c r="O654" s="8">
        <f>(I654 - MAX(I602:I654)) / MAX(I602:I654)</f>
        <v>-2.7412777526053485E-2</v>
      </c>
      <c r="P654" s="15">
        <v>-6.6600000000000006E-2</v>
      </c>
      <c r="Q654">
        <f t="shared" si="140"/>
        <v>0.66563675329144989</v>
      </c>
      <c r="R654">
        <f t="shared" si="141"/>
        <v>1.662506038568479E-2</v>
      </c>
      <c r="S654" s="15">
        <f t="shared" si="142"/>
        <v>5.0581859861007841E-2</v>
      </c>
    </row>
    <row r="655" spans="1:19" x14ac:dyDescent="0.3">
      <c r="A655" s="2">
        <v>43617</v>
      </c>
      <c r="B655">
        <v>2019</v>
      </c>
      <c r="C655">
        <v>6</v>
      </c>
      <c r="D655" t="s">
        <v>55</v>
      </c>
      <c r="E655" t="s">
        <v>26</v>
      </c>
      <c r="F655" t="s">
        <v>23</v>
      </c>
      <c r="G655" t="s">
        <v>35</v>
      </c>
      <c r="H655" t="s">
        <v>12</v>
      </c>
      <c r="I655">
        <v>91.16</v>
      </c>
      <c r="J655" s="8">
        <f t="shared" si="136"/>
        <v>6.1728395061728364E-2</v>
      </c>
      <c r="K655" s="8">
        <f t="shared" si="137"/>
        <v>1.5233614676425886</v>
      </c>
      <c r="L655" s="6">
        <f t="shared" si="138"/>
        <v>6.1991395061728363E-2</v>
      </c>
      <c r="M655">
        <f t="shared" si="139"/>
        <v>0.35426834729222506</v>
      </c>
      <c r="N655" s="15">
        <v>-2.63E-4</v>
      </c>
      <c r="O655" s="8">
        <f>(I655 - MAX(I602:I655)) / MAX(I602:I655)</f>
        <v>0</v>
      </c>
      <c r="P655" s="15">
        <v>5.8899999999999987E-2</v>
      </c>
      <c r="Q655">
        <f t="shared" si="140"/>
        <v>0.6798407365445468</v>
      </c>
      <c r="R655">
        <f t="shared" si="141"/>
        <v>1.6588223863897786E-2</v>
      </c>
      <c r="S655" s="15">
        <f t="shared" si="142"/>
        <v>5.2342777192875542E-2</v>
      </c>
    </row>
    <row r="656" spans="1:19" x14ac:dyDescent="0.3">
      <c r="A656" s="2">
        <v>43647</v>
      </c>
      <c r="B656">
        <v>2019</v>
      </c>
      <c r="C656">
        <v>7</v>
      </c>
      <c r="D656" t="s">
        <v>55</v>
      </c>
      <c r="E656" t="s">
        <v>26</v>
      </c>
      <c r="F656" t="s">
        <v>23</v>
      </c>
      <c r="G656" t="s">
        <v>35</v>
      </c>
      <c r="H656" t="s">
        <v>12</v>
      </c>
      <c r="I656">
        <v>105.43</v>
      </c>
      <c r="J656" s="8">
        <f t="shared" si="136"/>
        <v>0.15653795524352798</v>
      </c>
      <c r="K656" s="8">
        <f t="shared" si="137"/>
        <v>1.9183633121276671</v>
      </c>
      <c r="L656" s="6">
        <f t="shared" si="138"/>
        <v>0.15686195524352797</v>
      </c>
      <c r="M656">
        <f t="shared" si="139"/>
        <v>0.45728113847142271</v>
      </c>
      <c r="N656" s="15">
        <v>-3.2400000000000001E-4</v>
      </c>
      <c r="O656" s="8">
        <f>(I656 - MAX(I602:I656)) / MAX(I602:I656)</f>
        <v>0</v>
      </c>
      <c r="P656" s="15">
        <v>-2E-3</v>
      </c>
      <c r="Q656">
        <f t="shared" si="140"/>
        <v>0.70847793599476816</v>
      </c>
      <c r="R656">
        <f t="shared" si="141"/>
        <v>3.038002077915276E-2</v>
      </c>
      <c r="S656" s="15">
        <f t="shared" si="142"/>
        <v>6.5760176202033074E-2</v>
      </c>
    </row>
    <row r="657" spans="1:19" x14ac:dyDescent="0.3">
      <c r="A657" s="2">
        <v>43678</v>
      </c>
      <c r="B657">
        <v>2019</v>
      </c>
      <c r="C657">
        <v>8</v>
      </c>
      <c r="D657" t="s">
        <v>55</v>
      </c>
      <c r="E657" t="s">
        <v>26</v>
      </c>
      <c r="F657" t="s">
        <v>23</v>
      </c>
      <c r="G657" t="s">
        <v>35</v>
      </c>
      <c r="H657" t="s">
        <v>12</v>
      </c>
      <c r="I657">
        <v>106.94</v>
      </c>
      <c r="J657" s="8">
        <f t="shared" si="136"/>
        <v>1.432229915583791E-2</v>
      </c>
      <c r="K657" s="8">
        <f t="shared" si="137"/>
        <v>1.9601609845293813</v>
      </c>
      <c r="L657" s="6">
        <f t="shared" si="138"/>
        <v>1.486329915583791E-2</v>
      </c>
      <c r="M657">
        <f t="shared" si="139"/>
        <v>0.40307032144325394</v>
      </c>
      <c r="N657" s="15">
        <v>-5.4100000000000003E-4</v>
      </c>
      <c r="O657" s="8">
        <f>(I657 - MAX(I602:I657)) / MAX(I602:I657)</f>
        <v>0</v>
      </c>
      <c r="P657" s="15">
        <v>-1.1599999999999999E-2</v>
      </c>
      <c r="Q657">
        <f t="shared" si="140"/>
        <v>0.8110132091666078</v>
      </c>
      <c r="R657">
        <f t="shared" si="141"/>
        <v>2.4805853800339908E-2</v>
      </c>
      <c r="S657" s="15">
        <f t="shared" si="142"/>
        <v>6.5155121091022686E-2</v>
      </c>
    </row>
    <row r="658" spans="1:19" x14ac:dyDescent="0.3">
      <c r="A658" s="2">
        <v>43709</v>
      </c>
      <c r="B658">
        <v>2019</v>
      </c>
      <c r="C658">
        <v>9</v>
      </c>
      <c r="D658" t="s">
        <v>55</v>
      </c>
      <c r="E658" t="s">
        <v>26</v>
      </c>
      <c r="F658" t="s">
        <v>23</v>
      </c>
      <c r="G658" t="s">
        <v>35</v>
      </c>
      <c r="H658" t="s">
        <v>12</v>
      </c>
      <c r="I658">
        <v>103.59</v>
      </c>
      <c r="J658" s="8">
        <f t="shared" si="136"/>
        <v>-3.1325977183467316E-2</v>
      </c>
      <c r="K658" s="8">
        <f t="shared" si="137"/>
        <v>1.8674310490686237</v>
      </c>
      <c r="L658" s="6">
        <f t="shared" si="138"/>
        <v>-3.0829977183467316E-2</v>
      </c>
      <c r="M658">
        <f t="shared" si="139"/>
        <v>0.31708385928379113</v>
      </c>
      <c r="N658" s="15">
        <v>-4.9600000000000002E-4</v>
      </c>
      <c r="O658" s="8">
        <f>(I658 - MAX(I602:I658)) / MAX(I602:I658)</f>
        <v>-3.1325977183467316E-2</v>
      </c>
      <c r="P658" s="15">
        <v>4.1599999999999998E-2</v>
      </c>
      <c r="Q658">
        <f t="shared" si="140"/>
        <v>0.67689216987782197</v>
      </c>
      <c r="R658">
        <f t="shared" si="141"/>
        <v>1.7814325054180929E-2</v>
      </c>
      <c r="S658" s="15">
        <f t="shared" si="142"/>
        <v>6.7220496536036428E-2</v>
      </c>
    </row>
    <row r="659" spans="1:19" x14ac:dyDescent="0.3">
      <c r="A659" s="2">
        <v>43739</v>
      </c>
      <c r="B659">
        <v>2019</v>
      </c>
      <c r="C659">
        <v>10</v>
      </c>
      <c r="D659" t="s">
        <v>55</v>
      </c>
      <c r="E659" t="s">
        <v>26</v>
      </c>
      <c r="F659" t="s">
        <v>23</v>
      </c>
      <c r="G659" t="s">
        <v>35</v>
      </c>
      <c r="H659" t="s">
        <v>12</v>
      </c>
      <c r="I659">
        <v>106.14</v>
      </c>
      <c r="J659" s="8">
        <f t="shared" si="136"/>
        <v>2.4616275702287839E-2</v>
      </c>
      <c r="K659" s="8">
        <f t="shared" si="137"/>
        <v>1.9380165223297974</v>
      </c>
      <c r="L659" s="6">
        <f t="shared" si="138"/>
        <v>2.5007275702287838E-2</v>
      </c>
      <c r="M659">
        <f t="shared" si="139"/>
        <v>0.41062710261760127</v>
      </c>
      <c r="N659" s="15">
        <v>-3.9100000000000002E-4</v>
      </c>
      <c r="O659" s="8">
        <f>(I659 - MAX(I602:I659)) / MAX(I602:I659)</f>
        <v>-7.4808303721712842E-3</v>
      </c>
      <c r="P659" s="15">
        <v>9.7999999999999997E-3</v>
      </c>
      <c r="Q659">
        <f t="shared" si="140"/>
        <v>0.62379138877243512</v>
      </c>
      <c r="R659">
        <f t="shared" si="141"/>
        <v>1.9686607629740217E-2</v>
      </c>
      <c r="S659" s="15">
        <f t="shared" si="142"/>
        <v>6.4637397026867979E-2</v>
      </c>
    </row>
    <row r="660" spans="1:19" x14ac:dyDescent="0.3">
      <c r="A660" s="2">
        <v>43770</v>
      </c>
      <c r="B660">
        <v>2019</v>
      </c>
      <c r="C660">
        <v>11</v>
      </c>
      <c r="D660" t="s">
        <v>55</v>
      </c>
      <c r="E660" t="s">
        <v>26</v>
      </c>
      <c r="F660" t="s">
        <v>23</v>
      </c>
      <c r="G660" t="s">
        <v>35</v>
      </c>
      <c r="H660" t="s">
        <v>12</v>
      </c>
      <c r="I660">
        <v>116.24</v>
      </c>
      <c r="J660" s="8">
        <f t="shared" si="136"/>
        <v>9.5157339363105276E-2</v>
      </c>
      <c r="K660" s="8">
        <f t="shared" si="137"/>
        <v>2.2175903575995446</v>
      </c>
      <c r="L660" s="6">
        <f t="shared" si="138"/>
        <v>9.5451339363105278E-2</v>
      </c>
      <c r="M660">
        <f t="shared" si="139"/>
        <v>0.51943647809364135</v>
      </c>
      <c r="N660" s="15">
        <v>-2.9399999999999999E-4</v>
      </c>
      <c r="O660" s="8">
        <f>(I660 - MAX(I602:I660)) / MAX(I602:I660)</f>
        <v>0</v>
      </c>
      <c r="P660" s="15">
        <v>2.75E-2</v>
      </c>
      <c r="Q660">
        <f t="shared" si="140"/>
        <v>0.64592519087516331</v>
      </c>
      <c r="R660">
        <f t="shared" si="141"/>
        <v>2.5678863575792209E-2</v>
      </c>
      <c r="S660" s="15">
        <f t="shared" si="142"/>
        <v>6.6796666443101504E-2</v>
      </c>
    </row>
    <row r="661" spans="1:19" x14ac:dyDescent="0.3">
      <c r="A661" s="2">
        <v>43800</v>
      </c>
      <c r="B661">
        <v>2019</v>
      </c>
      <c r="C661">
        <v>12</v>
      </c>
      <c r="D661" t="s">
        <v>55</v>
      </c>
      <c r="E661" t="s">
        <v>26</v>
      </c>
      <c r="F661" t="s">
        <v>23</v>
      </c>
      <c r="G661" t="s">
        <v>35</v>
      </c>
      <c r="H661" t="s">
        <v>12</v>
      </c>
      <c r="I661">
        <v>115.63</v>
      </c>
      <c r="J661" s="8">
        <f t="shared" si="136"/>
        <v>-5.2477632484514754E-3</v>
      </c>
      <c r="K661" s="8">
        <f t="shared" si="137"/>
        <v>2.2007052051723619</v>
      </c>
      <c r="L661" s="6">
        <f t="shared" si="138"/>
        <v>-4.9977632484514752E-3</v>
      </c>
      <c r="M661">
        <f t="shared" si="139"/>
        <v>0.67477239914757114</v>
      </c>
      <c r="N661" s="15">
        <v>-2.5000000000000001E-4</v>
      </c>
      <c r="O661" s="8">
        <f>(I661 - MAX(I602:I661)) / MAX(I602:I661)</f>
        <v>-5.2477632484514754E-3</v>
      </c>
      <c r="P661" s="15">
        <v>1.21E-2</v>
      </c>
      <c r="Q661">
        <f t="shared" si="140"/>
        <v>0.33713172797527874</v>
      </c>
      <c r="R661">
        <f t="shared" si="141"/>
        <v>3.3522748999069985E-2</v>
      </c>
      <c r="S661" s="15">
        <f t="shared" si="142"/>
        <v>5.9624160710201914E-2</v>
      </c>
    </row>
    <row r="662" spans="1:19" x14ac:dyDescent="0.3">
      <c r="A662" s="2">
        <v>43831</v>
      </c>
      <c r="B662">
        <v>2020</v>
      </c>
      <c r="C662">
        <v>1</v>
      </c>
      <c r="D662" t="s">
        <v>55</v>
      </c>
      <c r="E662" t="s">
        <v>26</v>
      </c>
      <c r="F662" t="s">
        <v>23</v>
      </c>
      <c r="G662" t="s">
        <v>35</v>
      </c>
      <c r="H662" t="s">
        <v>12</v>
      </c>
      <c r="I662">
        <v>118.61</v>
      </c>
      <c r="J662" s="8">
        <f t="shared" si="136"/>
        <v>2.5771858514226448E-2</v>
      </c>
      <c r="K662" s="8">
        <f t="shared" si="137"/>
        <v>2.283193326865812</v>
      </c>
      <c r="L662" s="6">
        <f t="shared" si="138"/>
        <v>2.6032858514226449E-2</v>
      </c>
      <c r="M662">
        <f t="shared" si="139"/>
        <v>0.60106525580702819</v>
      </c>
      <c r="N662" s="15">
        <v>-2.61E-4</v>
      </c>
      <c r="O662" s="8">
        <f>(I662 - MAX(I602:I662)) / MAX(I602:I662)</f>
        <v>0</v>
      </c>
      <c r="P662" s="15">
        <v>-2.87E-2</v>
      </c>
      <c r="Q662">
        <f t="shared" si="140"/>
        <v>9.0856710728164994E-2</v>
      </c>
      <c r="R662">
        <f t="shared" si="141"/>
        <v>3.0551518399750857E-2</v>
      </c>
      <c r="S662" s="15">
        <f t="shared" si="142"/>
        <v>5.275132493869486E-2</v>
      </c>
    </row>
    <row r="663" spans="1:19" x14ac:dyDescent="0.3">
      <c r="A663" s="2">
        <v>43862</v>
      </c>
      <c r="B663">
        <v>2020</v>
      </c>
      <c r="C663">
        <v>2</v>
      </c>
      <c r="D663" t="s">
        <v>55</v>
      </c>
      <c r="E663" t="s">
        <v>26</v>
      </c>
      <c r="F663" t="s">
        <v>23</v>
      </c>
      <c r="G663" t="s">
        <v>35</v>
      </c>
      <c r="H663" t="s">
        <v>12</v>
      </c>
      <c r="I663">
        <v>109.36</v>
      </c>
      <c r="J663" s="8">
        <f t="shared" si="136"/>
        <v>-7.7986679032122086E-2</v>
      </c>
      <c r="K663" s="8">
        <f t="shared" si="137"/>
        <v>2.0271479826831227</v>
      </c>
      <c r="L663" s="6">
        <f t="shared" si="138"/>
        <v>-7.7598679032122087E-2</v>
      </c>
      <c r="M663">
        <f t="shared" si="139"/>
        <v>0.38144644630504454</v>
      </c>
      <c r="N663" s="15">
        <v>-3.88E-4</v>
      </c>
      <c r="O663" s="8">
        <f>(I663 - MAX(I602:I663)) / MAX(I602:I663)</f>
        <v>-7.7986679032122086E-2</v>
      </c>
      <c r="P663" s="15">
        <v>-8.5500000000000007E-2</v>
      </c>
      <c r="Q663">
        <f t="shared" si="140"/>
        <v>0.52440814171232719</v>
      </c>
      <c r="R663">
        <f t="shared" si="141"/>
        <v>2.2442446694297125E-2</v>
      </c>
      <c r="S663" s="15">
        <f t="shared" si="142"/>
        <v>6.1543909410053013E-2</v>
      </c>
    </row>
    <row r="664" spans="1:19" x14ac:dyDescent="0.3">
      <c r="A664" s="2">
        <v>43891</v>
      </c>
      <c r="B664">
        <v>2020</v>
      </c>
      <c r="C664">
        <v>3</v>
      </c>
      <c r="D664" t="s">
        <v>55</v>
      </c>
      <c r="E664" t="s">
        <v>26</v>
      </c>
      <c r="F664" t="s">
        <v>23</v>
      </c>
      <c r="G664" t="s">
        <v>35</v>
      </c>
      <c r="H664" t="s">
        <v>12</v>
      </c>
      <c r="I664">
        <v>94.99</v>
      </c>
      <c r="J664" s="8">
        <f t="shared" si="136"/>
        <v>-0.13140087783467452</v>
      </c>
      <c r="K664" s="8">
        <f t="shared" si="137"/>
        <v>1.6293780804230966</v>
      </c>
      <c r="L664" s="6">
        <f t="shared" si="138"/>
        <v>-0.13094987783467452</v>
      </c>
      <c r="M664">
        <f t="shared" si="139"/>
        <v>0.11964446536103659</v>
      </c>
      <c r="N664" s="15">
        <v>-4.5100000000000001E-4</v>
      </c>
      <c r="O664" s="8">
        <f>(I664 - MAX(I602:I664)) / MAX(I602:I664)</f>
        <v>-0.19914003878256475</v>
      </c>
      <c r="P664" s="15">
        <v>-0.16300000000000001</v>
      </c>
      <c r="Q664">
        <f t="shared" si="140"/>
        <v>0.74038342088864018</v>
      </c>
      <c r="R664">
        <f t="shared" si="141"/>
        <v>1.8600683591365359E-2</v>
      </c>
      <c r="S664" s="15">
        <f t="shared" si="142"/>
        <v>7.5485937804144351E-2</v>
      </c>
    </row>
    <row r="665" spans="1:19" x14ac:dyDescent="0.3">
      <c r="A665" s="2">
        <v>43922</v>
      </c>
      <c r="B665">
        <v>2020</v>
      </c>
      <c r="C665">
        <v>4</v>
      </c>
      <c r="D665" t="s">
        <v>55</v>
      </c>
      <c r="E665" t="s">
        <v>26</v>
      </c>
      <c r="F665" t="s">
        <v>23</v>
      </c>
      <c r="G665" t="s">
        <v>35</v>
      </c>
      <c r="H665" t="s">
        <v>12</v>
      </c>
      <c r="I665">
        <v>103.06</v>
      </c>
      <c r="J665" s="8">
        <f t="shared" si="136"/>
        <v>8.4956311190651723E-2</v>
      </c>
      <c r="K665" s="8">
        <f t="shared" si="137"/>
        <v>1.8527603428613997</v>
      </c>
      <c r="L665" s="6">
        <f t="shared" si="138"/>
        <v>8.5331311190651724E-2</v>
      </c>
      <c r="M665">
        <f t="shared" si="139"/>
        <v>0.2189034745678006</v>
      </c>
      <c r="N665" s="15">
        <v>-3.7500000000000001E-4</v>
      </c>
      <c r="O665" s="8">
        <f>(I665 - MAX(I602:I665)) / MAX(I602:I665)</f>
        <v>-0.13110193069724305</v>
      </c>
      <c r="P665" s="15">
        <v>5.0599999999999999E-2</v>
      </c>
      <c r="Q665">
        <f t="shared" si="140"/>
        <v>0.86940271613370446</v>
      </c>
      <c r="R665">
        <f t="shared" si="141"/>
        <v>2.8188453960080916E-2</v>
      </c>
      <c r="S665" s="15">
        <f t="shared" si="142"/>
        <v>7.8214345929689399E-2</v>
      </c>
    </row>
    <row r="666" spans="1:19" x14ac:dyDescent="0.3">
      <c r="A666" s="2">
        <v>43952</v>
      </c>
      <c r="B666">
        <v>2020</v>
      </c>
      <c r="C666">
        <v>5</v>
      </c>
      <c r="D666" t="s">
        <v>55</v>
      </c>
      <c r="E666" t="s">
        <v>26</v>
      </c>
      <c r="F666" t="s">
        <v>23</v>
      </c>
      <c r="G666" t="s">
        <v>35</v>
      </c>
      <c r="H666" t="s">
        <v>12</v>
      </c>
      <c r="I666">
        <v>106.77</v>
      </c>
      <c r="J666" s="8">
        <f t="shared" si="136"/>
        <v>3.5998447506306944E-2</v>
      </c>
      <c r="K666" s="8">
        <f t="shared" si="137"/>
        <v>1.9554552863119699</v>
      </c>
      <c r="L666" s="6">
        <f t="shared" si="138"/>
        <v>3.6428447506306944E-2</v>
      </c>
      <c r="M666">
        <f t="shared" si="139"/>
        <v>0.27633903752684463</v>
      </c>
      <c r="N666" s="15">
        <v>-4.2999999999999999E-4</v>
      </c>
      <c r="O666" s="8">
        <f>(I666 - MAX(I602:I666)) / MAX(I602:I666)</f>
        <v>-9.9822949161116295E-2</v>
      </c>
      <c r="P666" s="15">
        <v>4.1799999999999997E-2</v>
      </c>
      <c r="Q666">
        <f t="shared" si="140"/>
        <v>0.85979617378713769</v>
      </c>
      <c r="R666">
        <f t="shared" si="141"/>
        <v>2.4621130728987282E-2</v>
      </c>
      <c r="S666" s="15">
        <f t="shared" si="142"/>
        <v>7.7679815208257702E-2</v>
      </c>
    </row>
    <row r="667" spans="1:19" x14ac:dyDescent="0.3">
      <c r="A667" s="2">
        <v>43983</v>
      </c>
      <c r="B667">
        <v>2020</v>
      </c>
      <c r="C667">
        <v>6</v>
      </c>
      <c r="D667" t="s">
        <v>55</v>
      </c>
      <c r="E667" t="s">
        <v>26</v>
      </c>
      <c r="F667" t="s">
        <v>23</v>
      </c>
      <c r="G667" t="s">
        <v>35</v>
      </c>
      <c r="H667" t="s">
        <v>12</v>
      </c>
      <c r="I667">
        <v>97.62</v>
      </c>
      <c r="J667" s="8">
        <f t="shared" ref="J667:J698" si="143">(I667-I666)/I666</f>
        <v>-8.5698229839842571E-2</v>
      </c>
      <c r="K667" s="8">
        <f t="shared" ref="K667:K698" si="144">(K666+1)*(J667+1)-1</f>
        <v>1.702177999904229</v>
      </c>
      <c r="L667" s="6">
        <f t="shared" si="138"/>
        <v>-8.533622983984257E-2</v>
      </c>
      <c r="M667">
        <f t="shared" si="139"/>
        <v>0.11178975316082046</v>
      </c>
      <c r="N667" s="15">
        <v>-3.6200000000000002E-4</v>
      </c>
      <c r="O667" s="8">
        <f>(I667 - MAX(I602:I667)) / MAX(I602:I667)</f>
        <v>-0.17696652896045861</v>
      </c>
      <c r="P667" s="15">
        <v>6.0299999999999999E-2</v>
      </c>
      <c r="Q667">
        <f t="shared" si="140"/>
        <v>0.64879358708690893</v>
      </c>
      <c r="R667">
        <f t="shared" si="141"/>
        <v>1.1488474362608496E-2</v>
      </c>
      <c r="S667" s="15">
        <f t="shared" si="142"/>
        <v>8.2195935092220715E-2</v>
      </c>
    </row>
    <row r="668" spans="1:19" x14ac:dyDescent="0.3">
      <c r="A668" s="2">
        <v>44013</v>
      </c>
      <c r="B668">
        <v>2020</v>
      </c>
      <c r="C668">
        <v>7</v>
      </c>
      <c r="D668" t="s">
        <v>55</v>
      </c>
      <c r="E668" t="s">
        <v>26</v>
      </c>
      <c r="F668" t="s">
        <v>23</v>
      </c>
      <c r="G668" t="s">
        <v>35</v>
      </c>
      <c r="H668" t="s">
        <v>12</v>
      </c>
      <c r="I668">
        <v>99.79</v>
      </c>
      <c r="J668" s="8">
        <f t="shared" si="143"/>
        <v>2.2229051423888563E-2</v>
      </c>
      <c r="K668" s="8">
        <f t="shared" si="144"/>
        <v>1.7622448536206003</v>
      </c>
      <c r="L668" s="6">
        <f t="shared" si="138"/>
        <v>2.2665051423888562E-2</v>
      </c>
      <c r="M668">
        <f t="shared" si="139"/>
        <v>-2.9241547759927794E-2</v>
      </c>
      <c r="N668" s="15">
        <v>-4.3600000000000003E-4</v>
      </c>
      <c r="O668" s="8">
        <f>(I668 - MAX(I602:I668)) / MAX(I602:I668)</f>
        <v>-0.15867127560913913</v>
      </c>
      <c r="P668" s="15">
        <v>-1.8499999999999999E-2</v>
      </c>
      <c r="Q668">
        <f t="shared" si="140"/>
        <v>0.63153885456447467</v>
      </c>
      <c r="R668">
        <f t="shared" si="141"/>
        <v>1.1067068935798692E-3</v>
      </c>
      <c r="S668" s="15">
        <f t="shared" si="142"/>
        <v>6.8204735258720436E-2</v>
      </c>
    </row>
    <row r="669" spans="1:19" x14ac:dyDescent="0.3">
      <c r="A669" s="2">
        <v>44044</v>
      </c>
      <c r="B669">
        <v>2020</v>
      </c>
      <c r="C669">
        <v>8</v>
      </c>
      <c r="D669" t="s">
        <v>55</v>
      </c>
      <c r="E669" t="s">
        <v>26</v>
      </c>
      <c r="F669" t="s">
        <v>23</v>
      </c>
      <c r="G669" t="s">
        <v>35</v>
      </c>
      <c r="H669" t="s">
        <v>12</v>
      </c>
      <c r="I669">
        <v>99.58</v>
      </c>
      <c r="J669" s="8">
        <f t="shared" si="143"/>
        <v>-2.1044192804891065E-3</v>
      </c>
      <c r="K669" s="8">
        <f t="shared" si="144"/>
        <v>1.7564319322932094</v>
      </c>
      <c r="L669" s="6">
        <f t="shared" si="138"/>
        <v>-1.6684192804891065E-3</v>
      </c>
      <c r="M669">
        <f t="shared" si="139"/>
        <v>-4.9586495029016041E-2</v>
      </c>
      <c r="N669" s="15">
        <v>-4.3600000000000003E-4</v>
      </c>
      <c r="O669" s="8">
        <f>(I669 - MAX(I602:I669)) / MAX(I602:I669)</f>
        <v>-0.16044178399797657</v>
      </c>
      <c r="P669" s="15">
        <v>3.09E-2</v>
      </c>
      <c r="Q669">
        <f t="shared" si="140"/>
        <v>0.62009015182218696</v>
      </c>
      <c r="R669">
        <f t="shared" si="141"/>
        <v>-2.5178810424132925E-3</v>
      </c>
      <c r="S669" s="15">
        <f t="shared" si="142"/>
        <v>6.800350023882841E-2</v>
      </c>
    </row>
    <row r="670" spans="1:19" x14ac:dyDescent="0.3">
      <c r="A670" s="2">
        <v>44075</v>
      </c>
      <c r="B670">
        <v>2020</v>
      </c>
      <c r="C670">
        <v>9</v>
      </c>
      <c r="D670" t="s">
        <v>55</v>
      </c>
      <c r="E670" t="s">
        <v>26</v>
      </c>
      <c r="F670" t="s">
        <v>23</v>
      </c>
      <c r="G670" t="s">
        <v>35</v>
      </c>
      <c r="H670" t="s">
        <v>12</v>
      </c>
      <c r="I670">
        <v>103.05</v>
      </c>
      <c r="J670" s="8">
        <f t="shared" si="143"/>
        <v>3.4846354689696712E-2</v>
      </c>
      <c r="K670" s="8">
        <f t="shared" si="144"/>
        <v>1.8524835370839043</v>
      </c>
      <c r="L670" s="6">
        <f t="shared" si="138"/>
        <v>3.5283354689696712E-2</v>
      </c>
      <c r="M670">
        <f t="shared" si="139"/>
        <v>3.1318499731801987E-2</v>
      </c>
      <c r="N670" s="15">
        <v>-4.37E-4</v>
      </c>
      <c r="O670" s="8">
        <f>(I670 - MAX(I602:I670)) / MAX(I602:I670)</f>
        <v>-0.13118624062052106</v>
      </c>
      <c r="P670" s="15">
        <v>-2.41E-2</v>
      </c>
      <c r="Q670">
        <f t="shared" si="140"/>
        <v>0.65962016661319511</v>
      </c>
      <c r="R670">
        <f t="shared" si="141"/>
        <v>6.6606794204180798E-3</v>
      </c>
      <c r="S670" s="15">
        <f t="shared" si="142"/>
        <v>6.8246854559413206E-2</v>
      </c>
    </row>
    <row r="671" spans="1:19" x14ac:dyDescent="0.3">
      <c r="A671" s="2">
        <v>44105</v>
      </c>
      <c r="B671">
        <v>2020</v>
      </c>
      <c r="C671">
        <v>10</v>
      </c>
      <c r="D671" t="s">
        <v>55</v>
      </c>
      <c r="E671" t="s">
        <v>26</v>
      </c>
      <c r="F671" t="s">
        <v>23</v>
      </c>
      <c r="G671" t="s">
        <v>35</v>
      </c>
      <c r="H671" t="s">
        <v>12</v>
      </c>
      <c r="I671">
        <v>95.47</v>
      </c>
      <c r="J671" s="8">
        <f t="shared" si="143"/>
        <v>-7.3556525958272667E-2</v>
      </c>
      <c r="K671" s="8">
        <f t="shared" si="144"/>
        <v>1.6426647577428466</v>
      </c>
      <c r="L671" s="6">
        <f t="shared" si="138"/>
        <v>-7.3050525958272661E-2</v>
      </c>
      <c r="M671">
        <f t="shared" si="139"/>
        <v>-8.488759436948437E-2</v>
      </c>
      <c r="N671" s="15">
        <v>-5.0600000000000005E-4</v>
      </c>
      <c r="O671" s="8">
        <f>(I671 - MAX(I602:I671)) / MAX(I602:I671)</f>
        <v>-0.19509316246522215</v>
      </c>
      <c r="P671" s="15">
        <v>-7.3700000000000002E-2</v>
      </c>
      <c r="Q671">
        <f t="shared" si="140"/>
        <v>0.69253113893794327</v>
      </c>
      <c r="R671">
        <f t="shared" si="141"/>
        <v>3.5271059505356736E-3</v>
      </c>
      <c r="S671" s="15">
        <f t="shared" si="142"/>
        <v>7.1083347576488945E-2</v>
      </c>
    </row>
    <row r="672" spans="1:19" x14ac:dyDescent="0.3">
      <c r="A672" s="2">
        <v>44136</v>
      </c>
      <c r="B672">
        <v>2020</v>
      </c>
      <c r="C672">
        <v>11</v>
      </c>
      <c r="D672" t="s">
        <v>55</v>
      </c>
      <c r="E672" t="s">
        <v>26</v>
      </c>
      <c r="F672" t="s">
        <v>23</v>
      </c>
      <c r="G672" t="s">
        <v>35</v>
      </c>
      <c r="H672" t="s">
        <v>12</v>
      </c>
      <c r="I672">
        <v>115.18</v>
      </c>
      <c r="J672" s="8">
        <f t="shared" si="143"/>
        <v>0.20645228867707141</v>
      </c>
      <c r="K672" s="8">
        <f t="shared" si="144"/>
        <v>2.1882489451850957</v>
      </c>
      <c r="L672" s="6">
        <f t="shared" si="138"/>
        <v>0.20696428867707142</v>
      </c>
      <c r="M672">
        <f t="shared" si="139"/>
        <v>3.6117034201916788E-2</v>
      </c>
      <c r="N672" s="15">
        <v>-5.1199999999999998E-4</v>
      </c>
      <c r="O672" s="8">
        <f>(I672 - MAX(I602:I672)) / MAX(I602:I672)</f>
        <v>-2.8918303684343585E-2</v>
      </c>
      <c r="P672" s="15">
        <v>0.18060000000000001</v>
      </c>
      <c r="Q672">
        <f t="shared" si="140"/>
        <v>0.83873269803660511</v>
      </c>
      <c r="R672">
        <f t="shared" si="141"/>
        <v>4.1222665020774719E-3</v>
      </c>
      <c r="S672" s="15">
        <f t="shared" si="142"/>
        <v>9.0224778215395138E-2</v>
      </c>
    </row>
    <row r="673" spans="1:19" x14ac:dyDescent="0.3">
      <c r="A673" s="2">
        <v>44166</v>
      </c>
      <c r="B673">
        <v>2020</v>
      </c>
      <c r="C673">
        <v>12</v>
      </c>
      <c r="D673" t="s">
        <v>55</v>
      </c>
      <c r="E673" t="s">
        <v>26</v>
      </c>
      <c r="F673" t="s">
        <v>23</v>
      </c>
      <c r="G673" t="s">
        <v>35</v>
      </c>
      <c r="H673" t="s">
        <v>12</v>
      </c>
      <c r="I673">
        <v>113.86</v>
      </c>
      <c r="J673" s="8">
        <f t="shared" si="143"/>
        <v>-1.1460322972738387E-2</v>
      </c>
      <c r="K673" s="8">
        <f t="shared" si="144"/>
        <v>2.1517105825557823</v>
      </c>
      <c r="L673" s="6">
        <f t="shared" si="138"/>
        <v>-1.0945322972738387E-2</v>
      </c>
      <c r="M673">
        <f t="shared" si="139"/>
        <v>3.0600515463696881E-2</v>
      </c>
      <c r="N673" s="15">
        <v>-5.1500000000000005E-4</v>
      </c>
      <c r="O673" s="8">
        <f>(I673 - MAX(I602:I673)) / MAX(I602:I673)</f>
        <v>-4.0047213557035666E-2</v>
      </c>
      <c r="P673" s="15">
        <v>2.2599999999999999E-2</v>
      </c>
      <c r="Q673">
        <f t="shared" si="140"/>
        <v>0.83208745848638799</v>
      </c>
      <c r="R673">
        <f t="shared" si="141"/>
        <v>2.8733423525128558E-3</v>
      </c>
      <c r="S673" s="15">
        <f t="shared" si="142"/>
        <v>9.0293296755729474E-2</v>
      </c>
    </row>
    <row r="674" spans="1:19" x14ac:dyDescent="0.3">
      <c r="A674" s="2">
        <v>44197</v>
      </c>
      <c r="B674">
        <v>2021</v>
      </c>
      <c r="C674">
        <v>1</v>
      </c>
      <c r="D674" t="s">
        <v>55</v>
      </c>
      <c r="E674" t="s">
        <v>26</v>
      </c>
      <c r="F674" t="s">
        <v>23</v>
      </c>
      <c r="G674" t="s">
        <v>35</v>
      </c>
      <c r="H674" t="s">
        <v>12</v>
      </c>
      <c r="I674">
        <v>102.69</v>
      </c>
      <c r="J674" s="8">
        <f t="shared" si="143"/>
        <v>-9.8102933427015648E-2</v>
      </c>
      <c r="K674" s="8">
        <f t="shared" si="144"/>
        <v>1.8425185290940918</v>
      </c>
      <c r="L674" s="6">
        <f t="shared" si="138"/>
        <v>-9.7616933427015648E-2</v>
      </c>
      <c r="M674">
        <f t="shared" si="139"/>
        <v>-7.9918662304612989E-2</v>
      </c>
      <c r="N674" s="15">
        <v>-4.86E-4</v>
      </c>
      <c r="O674" s="8">
        <f>(I674 - MAX(I602:I674)) / MAX(I602:I674)</f>
        <v>-0.13422139785852796</v>
      </c>
      <c r="P674" s="15">
        <v>-2.52E-2</v>
      </c>
      <c r="Q674">
        <f t="shared" si="140"/>
        <v>0.87220147078846211</v>
      </c>
      <c r="R674">
        <f t="shared" si="141"/>
        <v>-7.6962343996835169E-3</v>
      </c>
      <c r="S674" s="15">
        <f t="shared" si="142"/>
        <v>9.4360036658917984E-2</v>
      </c>
    </row>
    <row r="675" spans="1:19" x14ac:dyDescent="0.3">
      <c r="A675" s="2">
        <v>44228</v>
      </c>
      <c r="B675">
        <v>2021</v>
      </c>
      <c r="C675">
        <v>2</v>
      </c>
      <c r="D675" t="s">
        <v>55</v>
      </c>
      <c r="E675" t="s">
        <v>26</v>
      </c>
      <c r="F675" t="s">
        <v>23</v>
      </c>
      <c r="G675" t="s">
        <v>35</v>
      </c>
      <c r="H675" t="s">
        <v>12</v>
      </c>
      <c r="I675">
        <v>115.37</v>
      </c>
      <c r="J675" s="8">
        <f t="shared" si="143"/>
        <v>0.12347843022689656</v>
      </c>
      <c r="K675" s="8">
        <f t="shared" si="144"/>
        <v>2.1935082549574969</v>
      </c>
      <c r="L675" s="6">
        <f t="shared" si="138"/>
        <v>0.12384943022689655</v>
      </c>
      <c r="M675">
        <f t="shared" si="139"/>
        <v>9.3774677867547604E-2</v>
      </c>
      <c r="N675" s="15">
        <v>-3.7100000000000002E-4</v>
      </c>
      <c r="O675" s="8">
        <f>(I675 - MAX(I602:I675)) / MAX(I602:I675)</f>
        <v>-2.7316415142062178E-2</v>
      </c>
      <c r="P675" s="15">
        <v>4.4499999999999998E-2</v>
      </c>
      <c r="Q675">
        <f t="shared" si="140"/>
        <v>0.91881303761336197</v>
      </c>
      <c r="R675">
        <f t="shared" si="141"/>
        <v>-8.6968730740712846E-4</v>
      </c>
      <c r="S675" s="15">
        <f t="shared" si="142"/>
        <v>9.8600333733126072E-2</v>
      </c>
    </row>
    <row r="676" spans="1:19" x14ac:dyDescent="0.3">
      <c r="A676" s="2">
        <v>44256</v>
      </c>
      <c r="B676">
        <v>2021</v>
      </c>
      <c r="C676">
        <v>3</v>
      </c>
      <c r="D676" t="s">
        <v>55</v>
      </c>
      <c r="E676" t="s">
        <v>26</v>
      </c>
      <c r="F676" t="s">
        <v>23</v>
      </c>
      <c r="G676" t="s">
        <v>35</v>
      </c>
      <c r="H676" t="s">
        <v>12</v>
      </c>
      <c r="I676">
        <v>119.04</v>
      </c>
      <c r="J676" s="8">
        <f t="shared" si="143"/>
        <v>3.1810696021496068E-2</v>
      </c>
      <c r="K676" s="8">
        <f t="shared" si="144"/>
        <v>2.2950959752980884</v>
      </c>
      <c r="L676" s="6">
        <f t="shared" si="138"/>
        <v>3.2114696021496067E-2</v>
      </c>
      <c r="M676">
        <f t="shared" si="139"/>
        <v>0.25886464602657533</v>
      </c>
      <c r="N676" s="15">
        <v>-3.0400000000000002E-4</v>
      </c>
      <c r="O676" s="8">
        <f>(I676 - MAX(I602:I676)) / MAX(I602:I676)</f>
        <v>0</v>
      </c>
      <c r="P676" s="15">
        <v>7.7800000000000008E-2</v>
      </c>
      <c r="Q676">
        <f t="shared" si="140"/>
        <v>0.96037537339794243</v>
      </c>
      <c r="R676">
        <f t="shared" si="141"/>
        <v>-6.9983316403251193E-3</v>
      </c>
      <c r="S676" s="15">
        <f t="shared" si="142"/>
        <v>8.8211848825144476E-2</v>
      </c>
    </row>
    <row r="677" spans="1:19" x14ac:dyDescent="0.3">
      <c r="A677" s="2">
        <v>44287</v>
      </c>
      <c r="B677">
        <v>2021</v>
      </c>
      <c r="C677">
        <v>4</v>
      </c>
      <c r="D677" t="s">
        <v>55</v>
      </c>
      <c r="E677" t="s">
        <v>26</v>
      </c>
      <c r="F677" t="s">
        <v>23</v>
      </c>
      <c r="G677" t="s">
        <v>35</v>
      </c>
      <c r="H677" t="s">
        <v>12</v>
      </c>
      <c r="I677">
        <v>120.12</v>
      </c>
      <c r="J677" s="8">
        <f t="shared" si="143"/>
        <v>9.0725806451612753E-3</v>
      </c>
      <c r="K677" s="8">
        <f t="shared" si="144"/>
        <v>2.3249909992675266</v>
      </c>
      <c r="L677" s="6">
        <f t="shared" si="138"/>
        <v>9.3435806451612757E-3</v>
      </c>
      <c r="M677">
        <f t="shared" ref="M677:M708" si="145">(AVERAGE(J666:J677)-AVERAGE(N666:N677))/STDEV(J666:J677)</f>
        <v>0.19186293999303403</v>
      </c>
      <c r="N677" s="15">
        <v>-2.7099999999999997E-4</v>
      </c>
      <c r="O677" s="8">
        <f>(I677 - MAX(I602:I677)) / MAX(I602:I677)</f>
        <v>0</v>
      </c>
      <c r="P677" s="15">
        <v>1.4200000000000001E-2</v>
      </c>
      <c r="Q677">
        <f t="shared" ref="Q677:Q708" si="146" xml:space="preserve"> _xlfn.COVARIANCE.P(J666:J677, P666:P677) / _xlfn.VAR.P(P666:P677)</f>
        <v>0.93775114404125304</v>
      </c>
      <c r="R677">
        <f t="shared" ref="R677:R708" si="147">AVERAGE(J666:J677)-(AVERAGE(N666:N677)+Q677*(AVERAGE(P666:P677)-AVERAGE(N666:N677)))</f>
        <v>-9.7752007075014059E-3</v>
      </c>
      <c r="S677" s="15">
        <f t="shared" ref="S677:S708" si="148">STDEV(J666:J677)</f>
        <v>8.6012536570528375E-2</v>
      </c>
    </row>
    <row r="678" spans="1:19" x14ac:dyDescent="0.3">
      <c r="A678" s="2">
        <v>44317</v>
      </c>
      <c r="B678">
        <v>2021</v>
      </c>
      <c r="C678">
        <v>5</v>
      </c>
      <c r="D678" t="s">
        <v>55</v>
      </c>
      <c r="E678" t="s">
        <v>26</v>
      </c>
      <c r="F678" t="s">
        <v>23</v>
      </c>
      <c r="G678" t="s">
        <v>35</v>
      </c>
      <c r="H678" t="s">
        <v>12</v>
      </c>
      <c r="I678">
        <v>115.2</v>
      </c>
      <c r="J678" s="8">
        <f t="shared" si="143"/>
        <v>-4.0959040959040974E-2</v>
      </c>
      <c r="K678" s="8">
        <f t="shared" si="144"/>
        <v>2.1888025567400851</v>
      </c>
      <c r="L678" s="6">
        <f t="shared" si="138"/>
        <v>-4.0773040959040975E-2</v>
      </c>
      <c r="M678">
        <f t="shared" si="145"/>
        <v>0.11540256548380831</v>
      </c>
      <c r="N678" s="15">
        <v>-1.8599999999999999E-4</v>
      </c>
      <c r="O678" s="8">
        <f>(I678 - MAX(I602:I678)) / MAX(I602:I678)</f>
        <v>-4.0959040959040974E-2</v>
      </c>
      <c r="P678" s="15">
        <v>1.6299999999999999E-2</v>
      </c>
      <c r="Q678">
        <f t="shared" si="146"/>
        <v>0.94475980725327702</v>
      </c>
      <c r="R678">
        <f t="shared" si="147"/>
        <v>-1.4378231301757567E-2</v>
      </c>
      <c r="S678" s="15">
        <f t="shared" si="148"/>
        <v>8.7252486358116277E-2</v>
      </c>
    </row>
    <row r="679" spans="1:19" x14ac:dyDescent="0.3">
      <c r="A679" s="2">
        <v>44348</v>
      </c>
      <c r="B679">
        <v>2021</v>
      </c>
      <c r="C679">
        <v>6</v>
      </c>
      <c r="D679" t="s">
        <v>55</v>
      </c>
      <c r="E679" t="s">
        <v>26</v>
      </c>
      <c r="F679" t="s">
        <v>23</v>
      </c>
      <c r="G679" t="s">
        <v>35</v>
      </c>
      <c r="H679" t="s">
        <v>12</v>
      </c>
      <c r="I679">
        <v>106.89</v>
      </c>
      <c r="J679" s="8">
        <f t="shared" si="143"/>
        <v>-7.2135416666666688E-2</v>
      </c>
      <c r="K679" s="8">
        <f t="shared" si="144"/>
        <v>1.9587769556419072</v>
      </c>
      <c r="L679" s="6">
        <f t="shared" si="138"/>
        <v>-7.1894416666666683E-2</v>
      </c>
      <c r="M679">
        <f t="shared" si="145"/>
        <v>0.13013328864232732</v>
      </c>
      <c r="N679" s="15">
        <v>-2.41E-4</v>
      </c>
      <c r="O679" s="8">
        <f>(I679 - MAX(I602:I679)) / MAX(I602:I679)</f>
        <v>-0.11013986013986017</v>
      </c>
      <c r="P679" s="15">
        <v>6.1000000000000004E-3</v>
      </c>
      <c r="Q679">
        <f t="shared" si="146"/>
        <v>1.0798507157953745</v>
      </c>
      <c r="R679">
        <f t="shared" si="147"/>
        <v>-1.1865590901458634E-2</v>
      </c>
      <c r="S679" s="15">
        <f t="shared" si="148"/>
        <v>8.5983471140010898E-2</v>
      </c>
    </row>
    <row r="680" spans="1:19" x14ac:dyDescent="0.3">
      <c r="A680" s="2">
        <v>44378</v>
      </c>
      <c r="B680">
        <v>2021</v>
      </c>
      <c r="C680">
        <v>7</v>
      </c>
      <c r="D680" t="s">
        <v>55</v>
      </c>
      <c r="E680" t="s">
        <v>26</v>
      </c>
      <c r="F680" t="s">
        <v>23</v>
      </c>
      <c r="G680" t="s">
        <v>35</v>
      </c>
      <c r="H680" t="s">
        <v>12</v>
      </c>
      <c r="I680">
        <v>115.11</v>
      </c>
      <c r="J680" s="8">
        <f t="shared" si="143"/>
        <v>7.6901487510524821E-2</v>
      </c>
      <c r="K680" s="8">
        <f t="shared" si="144"/>
        <v>2.1863113047426319</v>
      </c>
      <c r="L680" s="6">
        <f t="shared" si="138"/>
        <v>7.7277487510524823E-2</v>
      </c>
      <c r="M680">
        <f t="shared" si="145"/>
        <v>0.17873054002186436</v>
      </c>
      <c r="N680" s="15">
        <v>-3.7599999999999998E-4</v>
      </c>
      <c r="O680" s="8">
        <f>(I680 - MAX(I602:I680)) / MAX(I602:I680)</f>
        <v>-4.1708291708291746E-2</v>
      </c>
      <c r="P680" s="15">
        <v>6.1999999999999998E-3</v>
      </c>
      <c r="Q680">
        <f t="shared" si="146"/>
        <v>1.09996637385401</v>
      </c>
      <c r="R680">
        <f t="shared" si="147"/>
        <v>-1.0002623157742556E-2</v>
      </c>
      <c r="S680" s="15">
        <f t="shared" si="148"/>
        <v>8.80674797209237E-2</v>
      </c>
    </row>
    <row r="681" spans="1:19" x14ac:dyDescent="0.3">
      <c r="A681" s="2">
        <v>44409</v>
      </c>
      <c r="B681">
        <v>2021</v>
      </c>
      <c r="C681">
        <v>8</v>
      </c>
      <c r="D681" t="s">
        <v>55</v>
      </c>
      <c r="E681" t="s">
        <v>26</v>
      </c>
      <c r="F681" t="s">
        <v>23</v>
      </c>
      <c r="G681" t="s">
        <v>35</v>
      </c>
      <c r="H681" t="s">
        <v>12</v>
      </c>
      <c r="I681">
        <v>117.79</v>
      </c>
      <c r="J681" s="8">
        <f t="shared" si="143"/>
        <v>2.3282078012336085E-2</v>
      </c>
      <c r="K681" s="8">
        <f t="shared" si="144"/>
        <v>2.2604952531112383</v>
      </c>
      <c r="L681" s="6">
        <f t="shared" si="138"/>
        <v>2.3731078012336086E-2</v>
      </c>
      <c r="M681">
        <f t="shared" si="145"/>
        <v>0.20311688466035061</v>
      </c>
      <c r="N681" s="15">
        <v>-4.4900000000000002E-4</v>
      </c>
      <c r="O681" s="8">
        <f>(I681 - MAX(I602:I681)) / MAX(I602:I681)</f>
        <v>-1.9397269397269382E-2</v>
      </c>
      <c r="P681" s="15">
        <v>2.6200000000000001E-2</v>
      </c>
      <c r="Q681">
        <f t="shared" si="146"/>
        <v>1.1053760948466149</v>
      </c>
      <c r="R681">
        <f t="shared" si="147"/>
        <v>-7.5808628580686307E-3</v>
      </c>
      <c r="S681" s="15">
        <f t="shared" si="148"/>
        <v>8.7914764019483546E-2</v>
      </c>
    </row>
    <row r="682" spans="1:19" x14ac:dyDescent="0.3">
      <c r="A682" s="2">
        <v>44440</v>
      </c>
      <c r="B682">
        <v>2021</v>
      </c>
      <c r="C682">
        <v>9</v>
      </c>
      <c r="D682" t="s">
        <v>55</v>
      </c>
      <c r="E682" t="s">
        <v>26</v>
      </c>
      <c r="F682" t="s">
        <v>23</v>
      </c>
      <c r="G682" t="s">
        <v>35</v>
      </c>
      <c r="H682" t="s">
        <v>12</v>
      </c>
      <c r="I682">
        <v>108.5</v>
      </c>
      <c r="J682" s="8">
        <f t="shared" si="143"/>
        <v>-7.8869173953646371E-2</v>
      </c>
      <c r="K682" s="8">
        <f t="shared" si="144"/>
        <v>2.0033426858185699</v>
      </c>
      <c r="L682" s="6">
        <f t="shared" si="138"/>
        <v>-7.8567173953646374E-2</v>
      </c>
      <c r="M682">
        <f t="shared" si="145"/>
        <v>9.1061803853005358E-2</v>
      </c>
      <c r="N682" s="15">
        <v>-3.0200000000000002E-4</v>
      </c>
      <c r="O682" s="8">
        <f>(I682 - MAX(I602:I682)) / MAX(I602:I682)</f>
        <v>-9.6736596736596778E-2</v>
      </c>
      <c r="P682" s="15">
        <v>-3.5299999999999998E-2</v>
      </c>
      <c r="Q682">
        <f t="shared" si="146"/>
        <v>1.2189171778193955</v>
      </c>
      <c r="R682">
        <f t="shared" si="147"/>
        <v>-1.8529940079737413E-2</v>
      </c>
      <c r="S682" s="15">
        <f t="shared" si="148"/>
        <v>9.1909325046818049E-2</v>
      </c>
    </row>
    <row r="683" spans="1:19" x14ac:dyDescent="0.3">
      <c r="A683" s="2">
        <v>44470</v>
      </c>
      <c r="B683">
        <v>2021</v>
      </c>
      <c r="C683">
        <v>10</v>
      </c>
      <c r="D683" t="s">
        <v>55</v>
      </c>
      <c r="E683" t="s">
        <v>26</v>
      </c>
      <c r="F683" t="s">
        <v>23</v>
      </c>
      <c r="G683" t="s">
        <v>35</v>
      </c>
      <c r="H683" t="s">
        <v>12</v>
      </c>
      <c r="I683">
        <v>98.49</v>
      </c>
      <c r="J683" s="8">
        <f t="shared" si="143"/>
        <v>-9.2258064516129085E-2</v>
      </c>
      <c r="K683" s="8">
        <f t="shared" si="144"/>
        <v>1.7262601025462758</v>
      </c>
      <c r="L683" s="6">
        <f t="shared" si="138"/>
        <v>-9.2088064516129081E-2</v>
      </c>
      <c r="M683">
        <f t="shared" si="145"/>
        <v>7.2497395169633244E-2</v>
      </c>
      <c r="N683" s="15">
        <v>-1.7000000000000001E-4</v>
      </c>
      <c r="O683" s="8">
        <f>(I683 - MAX(I602:I683)) / MAX(I602:I683)</f>
        <v>-0.18006993006993013</v>
      </c>
      <c r="P683" s="15">
        <v>0.05</v>
      </c>
      <c r="Q683">
        <f t="shared" si="146"/>
        <v>1.2550173853771935</v>
      </c>
      <c r="R683">
        <f t="shared" si="147"/>
        <v>-3.3815067092468822E-2</v>
      </c>
      <c r="S683" s="15">
        <f t="shared" si="148"/>
        <v>9.3561532346317811E-2</v>
      </c>
    </row>
    <row r="684" spans="1:19" x14ac:dyDescent="0.3">
      <c r="A684" s="2">
        <v>44501</v>
      </c>
      <c r="B684">
        <v>2021</v>
      </c>
      <c r="C684">
        <v>11</v>
      </c>
      <c r="D684" t="s">
        <v>55</v>
      </c>
      <c r="E684" t="s">
        <v>26</v>
      </c>
      <c r="F684" t="s">
        <v>23</v>
      </c>
      <c r="G684" t="s">
        <v>35</v>
      </c>
      <c r="H684" t="s">
        <v>12</v>
      </c>
      <c r="I684">
        <v>96.52</v>
      </c>
      <c r="J684" s="8">
        <f t="shared" si="143"/>
        <v>-2.0002030663011462E-2</v>
      </c>
      <c r="K684" s="8">
        <f t="shared" si="144"/>
        <v>1.6717293643798006</v>
      </c>
      <c r="L684" s="6">
        <f t="shared" si="138"/>
        <v>-1.9741030663011461E-2</v>
      </c>
      <c r="M684">
        <f t="shared" si="145"/>
        <v>-0.17493019596089385</v>
      </c>
      <c r="N684" s="15">
        <v>-2.61E-4</v>
      </c>
      <c r="O684" s="8">
        <f>(I684 - MAX(I602:I684)) / MAX(I602:I684)</f>
        <v>-0.19647019647019653</v>
      </c>
      <c r="P684" s="15">
        <v>-4.41E-2</v>
      </c>
      <c r="Q684">
        <f t="shared" si="146"/>
        <v>0.80984337470645251</v>
      </c>
      <c r="R684">
        <f t="shared" si="147"/>
        <v>-2.3125172040159792E-2</v>
      </c>
      <c r="S684" s="15">
        <f t="shared" si="148"/>
        <v>6.9222711924055227E-2</v>
      </c>
    </row>
    <row r="685" spans="1:19" x14ac:dyDescent="0.3">
      <c r="A685" s="2">
        <v>44531</v>
      </c>
      <c r="B685">
        <v>2021</v>
      </c>
      <c r="C685">
        <v>12</v>
      </c>
      <c r="D685" t="s">
        <v>55</v>
      </c>
      <c r="E685" t="s">
        <v>26</v>
      </c>
      <c r="F685" t="s">
        <v>23</v>
      </c>
      <c r="G685" t="s">
        <v>35</v>
      </c>
      <c r="H685" t="s">
        <v>12</v>
      </c>
      <c r="I685">
        <v>103.79</v>
      </c>
      <c r="J685" s="8">
        <f t="shared" si="143"/>
        <v>7.5321176958143499E-2</v>
      </c>
      <c r="K685" s="8">
        <f t="shared" si="144"/>
        <v>1.8729671646185198</v>
      </c>
      <c r="L685" s="6">
        <f t="shared" si="138"/>
        <v>7.56411769581435E-2</v>
      </c>
      <c r="M685">
        <f t="shared" si="145"/>
        <v>-6.6380066375873653E-2</v>
      </c>
      <c r="N685" s="15">
        <v>-3.2000000000000003E-4</v>
      </c>
      <c r="O685" s="8">
        <f>(I685 - MAX(I602:I685)) / MAX(I602:I685)</f>
        <v>-0.13594738594738592</v>
      </c>
      <c r="P685" s="15">
        <v>5.9800000000000013E-2</v>
      </c>
      <c r="Q685">
        <f t="shared" si="146"/>
        <v>0.94878384688110295</v>
      </c>
      <c r="R685">
        <f t="shared" si="147"/>
        <v>-2.0725403496573619E-2</v>
      </c>
      <c r="S685" s="15">
        <f t="shared" si="148"/>
        <v>7.3720940156987824E-2</v>
      </c>
    </row>
    <row r="686" spans="1:19" x14ac:dyDescent="0.3">
      <c r="A686" s="2">
        <v>44562</v>
      </c>
      <c r="B686">
        <v>2022</v>
      </c>
      <c r="C686">
        <v>1</v>
      </c>
      <c r="D686" t="s">
        <v>55</v>
      </c>
      <c r="E686" t="s">
        <v>26</v>
      </c>
      <c r="F686" t="s">
        <v>23</v>
      </c>
      <c r="G686" t="s">
        <v>35</v>
      </c>
      <c r="H686" t="s">
        <v>12</v>
      </c>
      <c r="I686">
        <v>105.7</v>
      </c>
      <c r="J686" s="8">
        <f t="shared" si="143"/>
        <v>1.8402543597649066E-2</v>
      </c>
      <c r="K686" s="8">
        <f t="shared" si="144"/>
        <v>1.9258370681200265</v>
      </c>
      <c r="L686" s="6">
        <f t="shared" si="138"/>
        <v>1.8498543597649065E-2</v>
      </c>
      <c r="M686">
        <f t="shared" si="145"/>
        <v>7.0531736781523552E-2</v>
      </c>
      <c r="N686" s="15">
        <v>-9.6000000000000002E-5</v>
      </c>
      <c r="O686" s="8">
        <f>(I686 - MAX(I602:I686)) / MAX(I602:I686)</f>
        <v>-0.12004662004662006</v>
      </c>
      <c r="P686" s="15">
        <v>-3.0499999999999999E-2</v>
      </c>
      <c r="Q686">
        <f t="shared" si="146"/>
        <v>0.62222241175194681</v>
      </c>
      <c r="R686">
        <f t="shared" si="147"/>
        <v>-5.3049364437827654E-3</v>
      </c>
      <c r="S686" s="15">
        <f t="shared" si="148"/>
        <v>6.7809032775662581E-2</v>
      </c>
    </row>
    <row r="687" spans="1:19" x14ac:dyDescent="0.3">
      <c r="A687" s="2">
        <v>44593</v>
      </c>
      <c r="B687">
        <v>2022</v>
      </c>
      <c r="C687">
        <v>2</v>
      </c>
      <c r="D687" t="s">
        <v>55</v>
      </c>
      <c r="E687" t="s">
        <v>26</v>
      </c>
      <c r="F687" t="s">
        <v>23</v>
      </c>
      <c r="G687" t="s">
        <v>35</v>
      </c>
      <c r="H687" t="s">
        <v>12</v>
      </c>
      <c r="I687">
        <v>97.67</v>
      </c>
      <c r="J687" s="8">
        <f t="shared" si="143"/>
        <v>-7.5969725638599814E-2</v>
      </c>
      <c r="K687" s="8">
        <f t="shared" si="144"/>
        <v>1.7035620287917026</v>
      </c>
      <c r="L687" s="6">
        <f t="shared" si="138"/>
        <v>-7.6094725638599814E-2</v>
      </c>
      <c r="M687">
        <f t="shared" si="145"/>
        <v>-0.19802683226670004</v>
      </c>
      <c r="N687" s="15">
        <v>1.25E-4</v>
      </c>
      <c r="O687" s="8">
        <f>(I687 - MAX(I602:I687)) / MAX(I602:I687)</f>
        <v>-0.18689643689643692</v>
      </c>
      <c r="P687" s="15">
        <v>-0.06</v>
      </c>
      <c r="Q687">
        <f t="shared" si="146"/>
        <v>0.54699639128202981</v>
      </c>
      <c r="R687">
        <f t="shared" si="147"/>
        <v>-1.5961330290623389E-2</v>
      </c>
      <c r="S687" s="15">
        <f t="shared" si="148"/>
        <v>5.9988457128121453E-2</v>
      </c>
    </row>
    <row r="688" spans="1:19" x14ac:dyDescent="0.3">
      <c r="A688" s="2">
        <v>44621</v>
      </c>
      <c r="B688">
        <v>2022</v>
      </c>
      <c r="C688">
        <v>3</v>
      </c>
      <c r="D688" t="s">
        <v>55</v>
      </c>
      <c r="E688" t="s">
        <v>26</v>
      </c>
      <c r="F688" t="s">
        <v>23</v>
      </c>
      <c r="G688" t="s">
        <v>35</v>
      </c>
      <c r="H688" t="s">
        <v>12</v>
      </c>
      <c r="I688">
        <v>101.4</v>
      </c>
      <c r="J688" s="8">
        <f t="shared" si="143"/>
        <v>3.8189822872939531E-2</v>
      </c>
      <c r="K688" s="8">
        <f t="shared" si="144"/>
        <v>1.806810583797263</v>
      </c>
      <c r="L688" s="6">
        <f t="shared" si="138"/>
        <v>3.7954822872939532E-2</v>
      </c>
      <c r="M688">
        <f t="shared" si="145"/>
        <v>-0.18849614284455946</v>
      </c>
      <c r="N688" s="15">
        <v>2.3499999999999999E-4</v>
      </c>
      <c r="O688" s="8">
        <f>(I688 - MAX(I602:I688)) / MAX(I602:I688)</f>
        <v>-0.15584415584415584</v>
      </c>
      <c r="P688" s="15">
        <v>-5.5000000000000014E-3</v>
      </c>
      <c r="Q688">
        <f t="shared" si="146"/>
        <v>0.49759098486265629</v>
      </c>
      <c r="R688">
        <f t="shared" si="147"/>
        <v>-1.1629500208822969E-2</v>
      </c>
      <c r="S688" s="15">
        <f t="shared" si="148"/>
        <v>6.0439681831702625E-2</v>
      </c>
    </row>
    <row r="689" spans="1:19" x14ac:dyDescent="0.3">
      <c r="A689" s="2">
        <v>44652</v>
      </c>
      <c r="B689">
        <v>2022</v>
      </c>
      <c r="C689">
        <v>4</v>
      </c>
      <c r="D689" t="s">
        <v>55</v>
      </c>
      <c r="E689" t="s">
        <v>26</v>
      </c>
      <c r="F689" t="s">
        <v>23</v>
      </c>
      <c r="G689" t="s">
        <v>35</v>
      </c>
      <c r="H689" t="s">
        <v>12</v>
      </c>
      <c r="I689">
        <v>97.92</v>
      </c>
      <c r="J689" s="8">
        <f t="shared" si="143"/>
        <v>-3.4319526627218974E-2</v>
      </c>
      <c r="K689" s="8">
        <f t="shared" si="144"/>
        <v>1.7104821732290727</v>
      </c>
      <c r="L689" s="6">
        <f t="shared" si="138"/>
        <v>-3.4941526627218972E-2</v>
      </c>
      <c r="M689">
        <f t="shared" si="145"/>
        <v>-0.24976351331995555</v>
      </c>
      <c r="N689" s="15">
        <v>6.2200000000000005E-4</v>
      </c>
      <c r="O689" s="8">
        <f>(I689 - MAX(I602:I689)) / MAX(I602:I689)</f>
        <v>-0.18481518481518483</v>
      </c>
      <c r="P689" s="15">
        <v>-2.5499999999999998E-2</v>
      </c>
      <c r="Q689">
        <f t="shared" si="146"/>
        <v>0.49668519695681179</v>
      </c>
      <c r="R689">
        <f t="shared" si="147"/>
        <v>-1.3639332809805818E-2</v>
      </c>
      <c r="S689" s="15">
        <f t="shared" si="148"/>
        <v>6.0389415193475841E-2</v>
      </c>
    </row>
    <row r="690" spans="1:19" x14ac:dyDescent="0.3">
      <c r="A690" s="2">
        <v>44682</v>
      </c>
      <c r="B690">
        <v>2022</v>
      </c>
      <c r="C690">
        <v>5</v>
      </c>
      <c r="D690" t="s">
        <v>55</v>
      </c>
      <c r="E690" t="s">
        <v>26</v>
      </c>
      <c r="F690" t="s">
        <v>23</v>
      </c>
      <c r="G690" t="s">
        <v>35</v>
      </c>
      <c r="H690" t="s">
        <v>12</v>
      </c>
      <c r="I690">
        <v>100.18</v>
      </c>
      <c r="J690" s="8">
        <f t="shared" si="143"/>
        <v>2.3080065359477177E-2</v>
      </c>
      <c r="K690" s="8">
        <f t="shared" si="144"/>
        <v>1.7730402789428972</v>
      </c>
      <c r="L690" s="6">
        <f t="shared" si="138"/>
        <v>2.2286065359477178E-2</v>
      </c>
      <c r="M690">
        <f t="shared" si="145"/>
        <v>-0.16182053630290769</v>
      </c>
      <c r="N690" s="15">
        <v>7.94E-4</v>
      </c>
      <c r="O690" s="8">
        <f>(I690 - MAX(I602:I690)) / MAX(I602:I690)</f>
        <v>-0.16600066600066599</v>
      </c>
      <c r="P690" s="15">
        <v>-3.5999999999999999E-3</v>
      </c>
      <c r="Q690">
        <f t="shared" si="146"/>
        <v>0.54896639834892502</v>
      </c>
      <c r="R690">
        <f t="shared" si="147"/>
        <v>-7.2772373679889854E-3</v>
      </c>
      <c r="S690" s="15">
        <f t="shared" si="148"/>
        <v>6.0734856057576017E-2</v>
      </c>
    </row>
    <row r="691" spans="1:19" x14ac:dyDescent="0.3">
      <c r="A691" s="2">
        <v>44713</v>
      </c>
      <c r="B691">
        <v>2022</v>
      </c>
      <c r="C691">
        <v>6</v>
      </c>
      <c r="D691" t="s">
        <v>55</v>
      </c>
      <c r="E691" t="s">
        <v>26</v>
      </c>
      <c r="F691" t="s">
        <v>23</v>
      </c>
      <c r="G691" t="s">
        <v>35</v>
      </c>
      <c r="H691" t="s">
        <v>12</v>
      </c>
      <c r="I691">
        <v>88.97</v>
      </c>
      <c r="J691" s="8">
        <f t="shared" si="143"/>
        <v>-0.11189858255140754</v>
      </c>
      <c r="K691" s="8">
        <f t="shared" si="144"/>
        <v>1.4627410023712275</v>
      </c>
      <c r="L691" s="6">
        <f t="shared" si="138"/>
        <v>-0.11310258255140754</v>
      </c>
      <c r="M691">
        <f t="shared" si="145"/>
        <v>-0.20293916441739718</v>
      </c>
      <c r="N691" s="15">
        <v>1.204E-3</v>
      </c>
      <c r="O691" s="8">
        <f>(I691 - MAX(I602:I691)) / MAX(I602:I691)</f>
        <v>-0.25932400932400934</v>
      </c>
      <c r="P691" s="15">
        <v>-8.8200000000000001E-2</v>
      </c>
      <c r="Q691">
        <f t="shared" si="146"/>
        <v>0.81058845725382411</v>
      </c>
      <c r="R691">
        <f t="shared" si="147"/>
        <v>-3.0280762361871022E-3</v>
      </c>
      <c r="S691" s="15">
        <f t="shared" si="148"/>
        <v>6.5350425785572736E-2</v>
      </c>
    </row>
    <row r="692" spans="1:19" x14ac:dyDescent="0.3">
      <c r="A692" s="2">
        <v>44743</v>
      </c>
      <c r="B692">
        <v>2022</v>
      </c>
      <c r="C692">
        <v>7</v>
      </c>
      <c r="D692" t="s">
        <v>55</v>
      </c>
      <c r="E692" t="s">
        <v>26</v>
      </c>
      <c r="F692" t="s">
        <v>23</v>
      </c>
      <c r="G692" t="s">
        <v>35</v>
      </c>
      <c r="H692" t="s">
        <v>12</v>
      </c>
      <c r="I692">
        <v>105.68</v>
      </c>
      <c r="J692" s="8">
        <f t="shared" si="143"/>
        <v>0.18781611779251442</v>
      </c>
      <c r="K692" s="8">
        <f t="shared" si="144"/>
        <v>1.9252834565650367</v>
      </c>
      <c r="L692" s="6">
        <f t="shared" si="138"/>
        <v>0.18691411779251443</v>
      </c>
      <c r="M692">
        <f t="shared" si="145"/>
        <v>-4.8921150728093575E-2</v>
      </c>
      <c r="N692" s="15">
        <v>9.0200000000000002E-4</v>
      </c>
      <c r="O692" s="8">
        <f>(I692 - MAX(I602:I692)) / MAX(I602:I692)</f>
        <v>-0.12021312021312019</v>
      </c>
      <c r="P692" s="15">
        <v>7.3300000000000004E-2</v>
      </c>
      <c r="Q692">
        <f t="shared" si="146"/>
        <v>1.1551358850418103</v>
      </c>
      <c r="R692">
        <f t="shared" si="147"/>
        <v>4.12228031808075E-3</v>
      </c>
      <c r="S692" s="15">
        <f t="shared" si="148"/>
        <v>8.4335198273320852E-2</v>
      </c>
    </row>
    <row r="693" spans="1:19" x14ac:dyDescent="0.3">
      <c r="A693" s="2">
        <v>44774</v>
      </c>
      <c r="B693">
        <v>2022</v>
      </c>
      <c r="C693">
        <v>8</v>
      </c>
      <c r="D693" t="s">
        <v>55</v>
      </c>
      <c r="E693" t="s">
        <v>26</v>
      </c>
      <c r="F693" t="s">
        <v>23</v>
      </c>
      <c r="G693" t="s">
        <v>35</v>
      </c>
      <c r="H693" t="s">
        <v>12</v>
      </c>
      <c r="I693">
        <v>101.19</v>
      </c>
      <c r="J693" s="8">
        <f t="shared" si="143"/>
        <v>-4.2486752460257467E-2</v>
      </c>
      <c r="K693" s="8">
        <f t="shared" si="144"/>
        <v>1.8009976624698716</v>
      </c>
      <c r="L693" s="6">
        <f t="shared" si="138"/>
        <v>-4.3348752460257468E-2</v>
      </c>
      <c r="M693">
        <f t="shared" si="145"/>
        <v>-0.1149217241743509</v>
      </c>
      <c r="N693" s="15">
        <v>8.6200000000000003E-4</v>
      </c>
      <c r="O693" s="8">
        <f>(I693 - MAX(I602:I693)) / MAX(I602:I693)</f>
        <v>-0.15759240759240764</v>
      </c>
      <c r="P693" s="15">
        <v>-5.1499999999999997E-2</v>
      </c>
      <c r="Q693">
        <f t="shared" si="146"/>
        <v>1.1532628827683724</v>
      </c>
      <c r="R693">
        <f t="shared" si="147"/>
        <v>6.1122917206658384E-3</v>
      </c>
      <c r="S693" s="15">
        <f t="shared" si="148"/>
        <v>8.4542421277885374E-2</v>
      </c>
    </row>
    <row r="694" spans="1:19" x14ac:dyDescent="0.3">
      <c r="A694" s="2">
        <v>44805</v>
      </c>
      <c r="B694">
        <v>2022</v>
      </c>
      <c r="C694">
        <v>9</v>
      </c>
      <c r="D694" t="s">
        <v>55</v>
      </c>
      <c r="E694" t="s">
        <v>26</v>
      </c>
      <c r="F694" t="s">
        <v>23</v>
      </c>
      <c r="G694" t="s">
        <v>35</v>
      </c>
      <c r="H694" t="s">
        <v>12</v>
      </c>
      <c r="I694">
        <v>93.57</v>
      </c>
      <c r="J694" s="8">
        <f t="shared" si="143"/>
        <v>-7.5303883782982556E-2</v>
      </c>
      <c r="K694" s="8">
        <f t="shared" si="144"/>
        <v>1.5900716600188347</v>
      </c>
      <c r="L694" s="6">
        <f t="shared" si="138"/>
        <v>-7.6799883782982553E-2</v>
      </c>
      <c r="M694">
        <f t="shared" si="145"/>
        <v>-0.11352939746085158</v>
      </c>
      <c r="N694" s="15">
        <v>1.4959999999999999E-3</v>
      </c>
      <c r="O694" s="8">
        <f>(I694 - MAX(I602:I694)) / MAX(I602:I694)</f>
        <v>-0.22102897102897112</v>
      </c>
      <c r="P694" s="15">
        <v>-5.6599999999999998E-2</v>
      </c>
      <c r="Q694">
        <f t="shared" si="146"/>
        <v>1.1457129256101701</v>
      </c>
      <c r="R694">
        <f t="shared" si="147"/>
        <v>8.3612523150189532E-3</v>
      </c>
      <c r="S694" s="15">
        <f t="shared" si="148"/>
        <v>8.4282017276976859E-2</v>
      </c>
    </row>
    <row r="695" spans="1:19" x14ac:dyDescent="0.3">
      <c r="A695" s="2">
        <v>44835</v>
      </c>
      <c r="B695">
        <v>2022</v>
      </c>
      <c r="C695">
        <v>10</v>
      </c>
      <c r="D695" t="s">
        <v>55</v>
      </c>
      <c r="E695" t="s">
        <v>26</v>
      </c>
      <c r="F695" t="s">
        <v>23</v>
      </c>
      <c r="G695" t="s">
        <v>35</v>
      </c>
      <c r="H695" t="s">
        <v>12</v>
      </c>
      <c r="I695">
        <v>102.74</v>
      </c>
      <c r="J695" s="8">
        <f t="shared" si="143"/>
        <v>9.8001496206048977E-2</v>
      </c>
      <c r="K695" s="8">
        <f t="shared" si="144"/>
        <v>1.8439025579815653</v>
      </c>
      <c r="L695" s="6">
        <f t="shared" si="138"/>
        <v>9.6179496206048973E-2</v>
      </c>
      <c r="M695">
        <f t="shared" si="145"/>
        <v>7.1911022833030747E-2</v>
      </c>
      <c r="N695" s="15">
        <v>1.8220000000000001E-3</v>
      </c>
      <c r="O695" s="8">
        <f>(I695 - MAX(I602:I695)) / MAX(I602:I695)</f>
        <v>-0.14468864468864476</v>
      </c>
      <c r="P695" s="15">
        <v>9.0200000000000002E-2</v>
      </c>
      <c r="Q695">
        <f t="shared" si="146"/>
        <v>1.3769243818963619</v>
      </c>
      <c r="R695">
        <f t="shared" si="147"/>
        <v>2.328441289410518E-2</v>
      </c>
      <c r="S695" s="15">
        <f t="shared" si="148"/>
        <v>8.5111802254372412E-2</v>
      </c>
    </row>
    <row r="696" spans="1:19" x14ac:dyDescent="0.3">
      <c r="A696" s="2">
        <v>44866</v>
      </c>
      <c r="B696">
        <v>2022</v>
      </c>
      <c r="C696">
        <v>11</v>
      </c>
      <c r="D696" t="s">
        <v>55</v>
      </c>
      <c r="E696" t="s">
        <v>26</v>
      </c>
      <c r="F696" t="s">
        <v>23</v>
      </c>
      <c r="G696" t="s">
        <v>35</v>
      </c>
      <c r="H696" t="s">
        <v>12</v>
      </c>
      <c r="I696">
        <v>104.36</v>
      </c>
      <c r="J696" s="8">
        <f t="shared" si="143"/>
        <v>1.5767957952112173E-2</v>
      </c>
      <c r="K696" s="8">
        <f t="shared" si="144"/>
        <v>1.8887450939357229</v>
      </c>
      <c r="L696" s="6">
        <f t="shared" si="138"/>
        <v>1.4045957952112173E-2</v>
      </c>
      <c r="M696">
        <f t="shared" si="145"/>
        <v>0.10548291894057761</v>
      </c>
      <c r="N696" s="15">
        <v>1.722E-3</v>
      </c>
      <c r="O696" s="8">
        <f>(I696 - MAX(I602:I696)) / MAX(I602:I696)</f>
        <v>-0.13120213120213123</v>
      </c>
      <c r="P696" s="15">
        <v>9.6000000000000002E-2</v>
      </c>
      <c r="Q696">
        <f t="shared" si="146"/>
        <v>1.0970844870321428</v>
      </c>
      <c r="R696">
        <f t="shared" si="147"/>
        <v>9.9845062146419212E-3</v>
      </c>
      <c r="S696" s="15">
        <f t="shared" si="148"/>
        <v>8.4715698329340089E-2</v>
      </c>
    </row>
    <row r="697" spans="1:19" x14ac:dyDescent="0.3">
      <c r="A697" s="2">
        <v>44896</v>
      </c>
      <c r="B697">
        <v>2022</v>
      </c>
      <c r="C697">
        <v>12</v>
      </c>
      <c r="D697" t="s">
        <v>55</v>
      </c>
      <c r="E697" t="s">
        <v>26</v>
      </c>
      <c r="F697" t="s">
        <v>23</v>
      </c>
      <c r="G697" t="s">
        <v>35</v>
      </c>
      <c r="H697" t="s">
        <v>12</v>
      </c>
      <c r="I697">
        <v>101.07</v>
      </c>
      <c r="J697" s="8">
        <f t="shared" si="143"/>
        <v>-3.1525488692985881E-2</v>
      </c>
      <c r="K697" s="8">
        <f t="shared" si="144"/>
        <v>1.7976759931399338</v>
      </c>
      <c r="L697" s="6">
        <f t="shared" si="138"/>
        <v>-3.3263488692985885E-2</v>
      </c>
      <c r="M697">
        <f t="shared" si="145"/>
        <v>-1.6829973620018214E-3</v>
      </c>
      <c r="N697" s="15">
        <v>1.738E-3</v>
      </c>
      <c r="O697" s="8">
        <f>(I697 - MAX(I602:I697)) / MAX(I602:I697)</f>
        <v>-0.15859140859140869</v>
      </c>
      <c r="P697" s="15">
        <v>-4.3200000000000002E-2</v>
      </c>
      <c r="Q697">
        <f t="shared" si="146"/>
        <v>1.0925694449154604</v>
      </c>
      <c r="R697">
        <f t="shared" si="147"/>
        <v>1.0470065930459002E-2</v>
      </c>
      <c r="S697" s="15">
        <f t="shared" si="148"/>
        <v>8.2786620786410511E-2</v>
      </c>
    </row>
    <row r="698" spans="1:19" x14ac:dyDescent="0.3">
      <c r="A698" s="2">
        <v>44927</v>
      </c>
      <c r="B698">
        <v>2023</v>
      </c>
      <c r="C698">
        <v>1</v>
      </c>
      <c r="D698" t="s">
        <v>55</v>
      </c>
      <c r="E698" t="s">
        <v>26</v>
      </c>
      <c r="F698" t="s">
        <v>23</v>
      </c>
      <c r="G698" t="s">
        <v>35</v>
      </c>
      <c r="H698" t="s">
        <v>12</v>
      </c>
      <c r="I698">
        <v>106.68</v>
      </c>
      <c r="J698" s="8">
        <f t="shared" si="143"/>
        <v>5.5506084891659382E-2</v>
      </c>
      <c r="K698" s="8">
        <f t="shared" si="144"/>
        <v>1.9529640343145163</v>
      </c>
      <c r="L698" s="6">
        <f t="shared" si="138"/>
        <v>5.367908489165938E-2</v>
      </c>
      <c r="M698">
        <f t="shared" si="145"/>
        <v>3.3169837855056034E-2</v>
      </c>
      <c r="N698" s="15">
        <v>1.8270000000000001E-3</v>
      </c>
      <c r="O698" s="8">
        <f>(I698 - MAX(I602:I698)) / MAX(I602:I698)</f>
        <v>-0.11188811188811186</v>
      </c>
      <c r="P698" s="15">
        <v>9.7500000000000003E-2</v>
      </c>
      <c r="Q698">
        <f t="shared" si="146"/>
        <v>1.0054325766862025</v>
      </c>
      <c r="R698">
        <f t="shared" si="147"/>
        <v>1.9921415651141267E-3</v>
      </c>
      <c r="S698" s="15">
        <f t="shared" si="148"/>
        <v>8.4184376248997744E-2</v>
      </c>
    </row>
    <row r="699" spans="1:19" x14ac:dyDescent="0.3">
      <c r="A699" s="2">
        <v>44958</v>
      </c>
      <c r="B699">
        <v>2023</v>
      </c>
      <c r="C699">
        <v>2</v>
      </c>
      <c r="D699" t="s">
        <v>55</v>
      </c>
      <c r="E699" t="s">
        <v>26</v>
      </c>
      <c r="F699" t="s">
        <v>23</v>
      </c>
      <c r="G699" t="s">
        <v>35</v>
      </c>
      <c r="H699" t="s">
        <v>12</v>
      </c>
      <c r="I699">
        <v>115.09</v>
      </c>
      <c r="J699" s="8">
        <f t="shared" ref="J699:J730" si="149">(I699-I698)/I698</f>
        <v>7.8833895763029585E-2</v>
      </c>
      <c r="K699" s="8">
        <f t="shared" ref="K699:K730" si="150">(K698+1)*(J699+1)-1</f>
        <v>2.1857576931876426</v>
      </c>
      <c r="L699" s="6">
        <f t="shared" si="138"/>
        <v>7.685889576302958E-2</v>
      </c>
      <c r="M699">
        <f t="shared" si="145"/>
        <v>0.18793723238317714</v>
      </c>
      <c r="N699" s="15">
        <v>1.9750000000000002E-3</v>
      </c>
      <c r="O699" s="8">
        <f>(I699 - MAX(I602:I699)) / MAX(I602:I699)</f>
        <v>-4.1874791874791879E-2</v>
      </c>
      <c r="P699" s="15">
        <v>1.7999999999999999E-2</v>
      </c>
      <c r="Q699">
        <f t="shared" si="146"/>
        <v>0.99201923760045041</v>
      </c>
      <c r="R699">
        <f t="shared" si="147"/>
        <v>8.4537638367777126E-3</v>
      </c>
      <c r="S699" s="15">
        <f t="shared" si="148"/>
        <v>8.2679291537240046E-2</v>
      </c>
    </row>
    <row r="700" spans="1:19" x14ac:dyDescent="0.3">
      <c r="A700" s="2">
        <v>44986</v>
      </c>
      <c r="B700">
        <v>2023</v>
      </c>
      <c r="C700">
        <v>3</v>
      </c>
      <c r="D700" t="s">
        <v>55</v>
      </c>
      <c r="E700" t="s">
        <v>26</v>
      </c>
      <c r="F700" t="s">
        <v>23</v>
      </c>
      <c r="G700" t="s">
        <v>35</v>
      </c>
      <c r="H700" t="s">
        <v>12</v>
      </c>
      <c r="I700">
        <v>113.03</v>
      </c>
      <c r="J700" s="8">
        <f t="shared" si="149"/>
        <v>-1.7899035537405527E-2</v>
      </c>
      <c r="K700" s="8">
        <f t="shared" si="150"/>
        <v>2.1287357030237137</v>
      </c>
      <c r="L700" s="6">
        <f t="shared" si="138"/>
        <v>-1.9885035537405525E-2</v>
      </c>
      <c r="M700">
        <f t="shared" si="145"/>
        <v>0.12922383298367138</v>
      </c>
      <c r="N700" s="15">
        <v>1.9859999999999999E-3</v>
      </c>
      <c r="O700" s="8">
        <f>(I700 - MAX(I602:I700)) / MAX(I602:I700)</f>
        <v>-5.9024309024309052E-2</v>
      </c>
      <c r="P700" s="15">
        <v>1.8100000000000002E-2</v>
      </c>
      <c r="Q700">
        <f t="shared" si="146"/>
        <v>0.99654551440686157</v>
      </c>
      <c r="R700">
        <f t="shared" si="147"/>
        <v>1.7869898531771514E-3</v>
      </c>
      <c r="S700" s="15">
        <f t="shared" si="148"/>
        <v>8.2945450375265017E-2</v>
      </c>
    </row>
    <row r="701" spans="1:19" x14ac:dyDescent="0.3">
      <c r="A701" s="2">
        <v>45017</v>
      </c>
      <c r="B701">
        <v>2023</v>
      </c>
      <c r="C701">
        <v>4</v>
      </c>
      <c r="D701" t="s">
        <v>55</v>
      </c>
      <c r="E701" t="s">
        <v>26</v>
      </c>
      <c r="F701" t="s">
        <v>23</v>
      </c>
      <c r="G701" t="s">
        <v>35</v>
      </c>
      <c r="H701" t="s">
        <v>12</v>
      </c>
      <c r="I701">
        <v>122.12</v>
      </c>
      <c r="J701" s="8">
        <f t="shared" si="149"/>
        <v>8.0421127134389134E-2</v>
      </c>
      <c r="K701" s="8">
        <f t="shared" si="150"/>
        <v>2.3803521547664861</v>
      </c>
      <c r="L701" s="6">
        <f t="shared" si="138"/>
        <v>7.8455127134389138E-2</v>
      </c>
      <c r="M701">
        <f t="shared" si="145"/>
        <v>0.24091876987846128</v>
      </c>
      <c r="N701" s="15">
        <v>1.9659999999999999E-3</v>
      </c>
      <c r="O701" s="8">
        <f>(I701 - MAX(I602:I701)) / MAX(I602:I701)</f>
        <v>0</v>
      </c>
      <c r="P701" s="15">
        <v>1.03E-2</v>
      </c>
      <c r="Q701">
        <f t="shared" si="146"/>
        <v>0.98306789319223409</v>
      </c>
      <c r="R701">
        <f t="shared" si="147"/>
        <v>8.5347885694612904E-3</v>
      </c>
      <c r="S701" s="15">
        <f t="shared" si="148"/>
        <v>8.3713901507233346E-2</v>
      </c>
    </row>
    <row r="702" spans="1:19" x14ac:dyDescent="0.3">
      <c r="A702" s="2">
        <v>45047</v>
      </c>
      <c r="B702">
        <v>2023</v>
      </c>
      <c r="C702">
        <v>5</v>
      </c>
      <c r="D702" t="s">
        <v>55</v>
      </c>
      <c r="E702" t="s">
        <v>26</v>
      </c>
      <c r="F702" t="s">
        <v>23</v>
      </c>
      <c r="G702" t="s">
        <v>35</v>
      </c>
      <c r="H702" t="s">
        <v>12</v>
      </c>
      <c r="I702">
        <v>112.19</v>
      </c>
      <c r="J702" s="8">
        <f t="shared" si="149"/>
        <v>-8.1313462168359038E-2</v>
      </c>
      <c r="K702" s="8">
        <f t="shared" si="150"/>
        <v>2.1054840177141507</v>
      </c>
      <c r="L702" s="6">
        <f t="shared" si="138"/>
        <v>-8.3265462168359033E-2</v>
      </c>
      <c r="M702">
        <f t="shared" si="145"/>
        <v>0.12803050689077158</v>
      </c>
      <c r="N702" s="15">
        <v>1.952E-3</v>
      </c>
      <c r="O702" s="8">
        <f>(I702 - MAX(I602:I702)) / MAX(I602:I702)</f>
        <v>-8.1313462168359038E-2</v>
      </c>
      <c r="P702" s="15">
        <v>-3.2400000000000012E-2</v>
      </c>
      <c r="Q702">
        <f t="shared" si="146"/>
        <v>1.0408377644125801</v>
      </c>
      <c r="R702">
        <f t="shared" si="147"/>
        <v>1.6536403932879105E-3</v>
      </c>
      <c r="S702" s="15">
        <f t="shared" si="148"/>
        <v>8.8824841998257784E-2</v>
      </c>
    </row>
    <row r="703" spans="1:19" x14ac:dyDescent="0.3">
      <c r="A703" s="2">
        <v>45078</v>
      </c>
      <c r="B703">
        <v>2023</v>
      </c>
      <c r="C703">
        <v>6</v>
      </c>
      <c r="D703" t="s">
        <v>55</v>
      </c>
      <c r="E703" t="s">
        <v>26</v>
      </c>
      <c r="F703" t="s">
        <v>23</v>
      </c>
      <c r="G703" t="s">
        <v>35</v>
      </c>
      <c r="H703" t="s">
        <v>12</v>
      </c>
      <c r="I703">
        <v>126.15</v>
      </c>
      <c r="J703" s="8">
        <f t="shared" si="149"/>
        <v>0.12443176753721373</v>
      </c>
      <c r="K703" s="8">
        <f t="shared" si="150"/>
        <v>2.4919048830968906</v>
      </c>
      <c r="L703" s="6">
        <f t="shared" si="138"/>
        <v>0.12245176753721373</v>
      </c>
      <c r="M703">
        <f t="shared" si="145"/>
        <v>0.3659272952548957</v>
      </c>
      <c r="N703" s="15">
        <v>1.98E-3</v>
      </c>
      <c r="O703" s="8">
        <f>(I703 - MAX(I602:I703)) / MAX(I602:I703)</f>
        <v>0</v>
      </c>
      <c r="P703" s="15">
        <v>4.2900000000000001E-2</v>
      </c>
      <c r="Q703">
        <f t="shared" si="146"/>
        <v>1.0211910183245618</v>
      </c>
      <c r="R703">
        <f t="shared" si="147"/>
        <v>1.0376142928468019E-2</v>
      </c>
      <c r="S703" s="15">
        <f t="shared" si="148"/>
        <v>8.4721252340540301E-2</v>
      </c>
    </row>
    <row r="704" spans="1:19" x14ac:dyDescent="0.3">
      <c r="A704" s="2">
        <v>45108</v>
      </c>
      <c r="B704">
        <v>2023</v>
      </c>
      <c r="C704">
        <v>7</v>
      </c>
      <c r="D704" t="s">
        <v>55</v>
      </c>
      <c r="E704" t="s">
        <v>26</v>
      </c>
      <c r="F704" t="s">
        <v>23</v>
      </c>
      <c r="G704" t="s">
        <v>35</v>
      </c>
      <c r="H704" t="s">
        <v>12</v>
      </c>
      <c r="I704">
        <v>126.21</v>
      </c>
      <c r="J704" s="8">
        <f t="shared" si="149"/>
        <v>4.7562425683700404E-4</v>
      </c>
      <c r="K704" s="8">
        <f t="shared" si="150"/>
        <v>2.4935657177618595</v>
      </c>
      <c r="L704" s="6">
        <f t="shared" si="138"/>
        <v>-1.5713757431629963E-3</v>
      </c>
      <c r="M704">
        <f t="shared" si="145"/>
        <v>0.22033756382496972</v>
      </c>
      <c r="N704" s="15">
        <v>2.0470000000000002E-3</v>
      </c>
      <c r="O704" s="8">
        <f>(I704 - MAX(I602:I704)) / MAX(I602:I704)</f>
        <v>0</v>
      </c>
      <c r="P704" s="15">
        <v>1.6400000000000001E-2</v>
      </c>
      <c r="Q704">
        <f t="shared" si="146"/>
        <v>0.85695939983713343</v>
      </c>
      <c r="R704">
        <f t="shared" si="147"/>
        <v>2.1312979837933531E-3</v>
      </c>
      <c r="S704" s="15">
        <f t="shared" si="148"/>
        <v>6.9414828741705875E-2</v>
      </c>
    </row>
    <row r="705" spans="1:19" x14ac:dyDescent="0.3">
      <c r="A705" s="2">
        <v>45139</v>
      </c>
      <c r="B705">
        <v>2023</v>
      </c>
      <c r="C705">
        <v>8</v>
      </c>
      <c r="D705" t="s">
        <v>55</v>
      </c>
      <c r="E705" t="s">
        <v>26</v>
      </c>
      <c r="F705" t="s">
        <v>23</v>
      </c>
      <c r="G705" t="s">
        <v>35</v>
      </c>
      <c r="H705" t="s">
        <v>12</v>
      </c>
      <c r="I705">
        <v>121.39</v>
      </c>
      <c r="J705" s="8">
        <f t="shared" si="149"/>
        <v>-3.8190317724427492E-2</v>
      </c>
      <c r="K705" s="8">
        <f t="shared" si="150"/>
        <v>2.3601453330093665</v>
      </c>
      <c r="L705" s="6">
        <f t="shared" si="138"/>
        <v>-4.031131772442749E-2</v>
      </c>
      <c r="M705">
        <f t="shared" si="145"/>
        <v>0.2250371044012478</v>
      </c>
      <c r="N705" s="15">
        <v>2.1210000000000001E-3</v>
      </c>
      <c r="O705" s="8">
        <f>(I705 - MAX(I602:I705)) / MAX(I602:I705)</f>
        <v>-3.8190317724427492E-2</v>
      </c>
      <c r="P705" s="15">
        <v>-3.9E-2</v>
      </c>
      <c r="Q705">
        <f t="shared" si="146"/>
        <v>0.86766713622796365</v>
      </c>
      <c r="R705">
        <f t="shared" si="147"/>
        <v>1.4071532781082599E-3</v>
      </c>
      <c r="S705" s="15">
        <f t="shared" si="148"/>
        <v>6.9090001228739206E-2</v>
      </c>
    </row>
    <row r="706" spans="1:19" x14ac:dyDescent="0.3">
      <c r="A706" s="2">
        <v>45170</v>
      </c>
      <c r="B706">
        <v>2023</v>
      </c>
      <c r="C706">
        <v>9</v>
      </c>
      <c r="D706" t="s">
        <v>55</v>
      </c>
      <c r="E706" t="s">
        <v>26</v>
      </c>
      <c r="F706" t="s">
        <v>23</v>
      </c>
      <c r="G706" t="s">
        <v>35</v>
      </c>
      <c r="H706" t="s">
        <v>12</v>
      </c>
      <c r="I706">
        <v>112.96</v>
      </c>
      <c r="J706" s="8">
        <f t="shared" si="149"/>
        <v>-6.9445588598731414E-2</v>
      </c>
      <c r="K706" s="8">
        <f t="shared" si="150"/>
        <v>2.1267980625812508</v>
      </c>
      <c r="L706" s="6">
        <f t="shared" ref="L706:L769" si="151">J706-N706</f>
        <v>-7.1663588598731412E-2</v>
      </c>
      <c r="M706">
        <f t="shared" si="145"/>
        <v>0.2335911232360858</v>
      </c>
      <c r="N706" s="15">
        <v>2.2179999999999999E-3</v>
      </c>
      <c r="O706" s="8">
        <f>(I706 - MAX(I602:I706)) / MAX(I602:I706)</f>
        <v>-0.10498375723001348</v>
      </c>
      <c r="P706" s="15">
        <v>-2.8500000000000001E-2</v>
      </c>
      <c r="Q706">
        <f t="shared" si="146"/>
        <v>0.87186155335543081</v>
      </c>
      <c r="R706">
        <f t="shared" si="147"/>
        <v>-2.223320712499352E-4</v>
      </c>
      <c r="S706" s="15">
        <f t="shared" si="148"/>
        <v>6.8392318153867801E-2</v>
      </c>
    </row>
    <row r="707" spans="1:19" x14ac:dyDescent="0.3">
      <c r="A707" s="2">
        <v>45200</v>
      </c>
      <c r="B707">
        <v>2023</v>
      </c>
      <c r="C707">
        <v>10</v>
      </c>
      <c r="D707" t="s">
        <v>55</v>
      </c>
      <c r="E707" t="s">
        <v>26</v>
      </c>
      <c r="F707" t="s">
        <v>23</v>
      </c>
      <c r="G707" t="s">
        <v>35</v>
      </c>
      <c r="H707" t="s">
        <v>12</v>
      </c>
      <c r="I707">
        <v>113.75</v>
      </c>
      <c r="J707" s="8">
        <f t="shared" si="149"/>
        <v>6.993626062323002E-3</v>
      </c>
      <c r="K707" s="8">
        <f t="shared" si="150"/>
        <v>2.1486657190033398</v>
      </c>
      <c r="L707" s="6">
        <f t="shared" si="151"/>
        <v>4.6406260623230019E-3</v>
      </c>
      <c r="M707">
        <f t="shared" si="145"/>
        <v>0.13128912363651632</v>
      </c>
      <c r="N707" s="15">
        <v>2.3530000000000001E-3</v>
      </c>
      <c r="O707" s="8">
        <f>(I707 - MAX(I602:I707)) / MAX(I602:I707)</f>
        <v>-9.8724348308374885E-2</v>
      </c>
      <c r="P707" s="15">
        <v>-2.7199999999999998E-2</v>
      </c>
      <c r="Q707">
        <f t="shared" si="146"/>
        <v>0.76877507353936847</v>
      </c>
      <c r="R707">
        <f t="shared" si="147"/>
        <v>1.6198563773264906E-3</v>
      </c>
      <c r="S707" s="15">
        <f t="shared" si="148"/>
        <v>6.3581803339238019E-2</v>
      </c>
    </row>
    <row r="708" spans="1:19" x14ac:dyDescent="0.3">
      <c r="A708" s="2">
        <v>45231</v>
      </c>
      <c r="B708">
        <v>2023</v>
      </c>
      <c r="C708">
        <v>11</v>
      </c>
      <c r="D708" t="s">
        <v>55</v>
      </c>
      <c r="E708" t="s">
        <v>26</v>
      </c>
      <c r="F708" t="s">
        <v>23</v>
      </c>
      <c r="G708" t="s">
        <v>35</v>
      </c>
      <c r="H708" t="s">
        <v>12</v>
      </c>
      <c r="I708">
        <v>130.61000000000001</v>
      </c>
      <c r="J708" s="8">
        <f t="shared" si="149"/>
        <v>0.14821978021978033</v>
      </c>
      <c r="K708" s="8">
        <f t="shared" si="150"/>
        <v>2.615360259859572</v>
      </c>
      <c r="L708" s="6">
        <f t="shared" si="151"/>
        <v>0.14605178021978032</v>
      </c>
      <c r="M708">
        <f t="shared" si="145"/>
        <v>0.25773704952187565</v>
      </c>
      <c r="N708" s="15">
        <v>2.1679999999999998E-3</v>
      </c>
      <c r="O708" s="8">
        <f>(I708 - MAX(I602:I708)) / MAX(I602:I708)</f>
        <v>0</v>
      </c>
      <c r="P708" s="15">
        <v>7.9100000000000004E-2</v>
      </c>
      <c r="Q708">
        <f t="shared" si="146"/>
        <v>1.2423112105123315</v>
      </c>
      <c r="R708">
        <f t="shared" si="147"/>
        <v>1.0272069302409771E-2</v>
      </c>
      <c r="S708" s="15">
        <f t="shared" si="148"/>
        <v>7.506908480756877E-2</v>
      </c>
    </row>
    <row r="709" spans="1:19" x14ac:dyDescent="0.3">
      <c r="A709" s="2">
        <v>45261</v>
      </c>
      <c r="B709">
        <v>2023</v>
      </c>
      <c r="C709">
        <v>12</v>
      </c>
      <c r="D709" t="s">
        <v>55</v>
      </c>
      <c r="E709" t="s">
        <v>26</v>
      </c>
      <c r="F709" t="s">
        <v>23</v>
      </c>
      <c r="G709" t="s">
        <v>35</v>
      </c>
      <c r="H709" t="s">
        <v>12</v>
      </c>
      <c r="I709">
        <v>132.84</v>
      </c>
      <c r="J709" s="8">
        <f t="shared" si="149"/>
        <v>1.7073730954750704E-2</v>
      </c>
      <c r="K709" s="8">
        <f t="shared" si="150"/>
        <v>2.6770879482409118</v>
      </c>
      <c r="L709" s="6">
        <f t="shared" si="151"/>
        <v>1.5321730954750704E-2</v>
      </c>
      <c r="M709">
        <f t="shared" ref="M709:M740" si="152">(AVERAGE(J698:J709)-AVERAGE(N698:N709))/STDEV(J698:J709)</f>
        <v>0.31943529965362161</v>
      </c>
      <c r="N709" s="15">
        <v>1.7520000000000001E-3</v>
      </c>
      <c r="O709" s="8">
        <f>(I709 - MAX(I602:I709)) / MAX(I602:I709)</f>
        <v>0</v>
      </c>
      <c r="P709" s="15">
        <v>3.1800000000000002E-2</v>
      </c>
      <c r="Q709">
        <f t="shared" ref="Q709:Q740" si="153" xml:space="preserve"> _xlfn.COVARIANCE.P(J698:J709, P698:P709) / _xlfn.VAR.P(P698:P709)</f>
        <v>1.252108545372361</v>
      </c>
      <c r="R709">
        <f t="shared" ref="R709:R740" si="154">AVERAGE(J698:J709)-(AVERAGE(N698:N709)+Q709*(AVERAGE(P698:P709)-AVERAGE(N698:N709)))</f>
        <v>6.4250431119598425E-3</v>
      </c>
      <c r="S709" s="15">
        <f t="shared" ref="S709:S740" si="155">STDEV(J698:J709)</f>
        <v>7.3244418378177273E-2</v>
      </c>
    </row>
    <row r="710" spans="1:19" x14ac:dyDescent="0.3">
      <c r="A710" s="2">
        <v>45292</v>
      </c>
      <c r="B710">
        <v>2024</v>
      </c>
      <c r="C710">
        <v>1</v>
      </c>
      <c r="D710" t="s">
        <v>55</v>
      </c>
      <c r="E710" t="s">
        <v>26</v>
      </c>
      <c r="F710" t="s">
        <v>23</v>
      </c>
      <c r="G710" t="s">
        <v>35</v>
      </c>
      <c r="H710" t="s">
        <v>12</v>
      </c>
      <c r="I710">
        <v>141.87</v>
      </c>
      <c r="J710" s="8">
        <f t="shared" si="149"/>
        <v>6.7976513098464322E-2</v>
      </c>
      <c r="K710" s="8">
        <f t="shared" si="150"/>
        <v>2.9270435653187157</v>
      </c>
      <c r="L710" s="6">
        <f t="shared" si="151"/>
        <v>6.6164513098464328E-2</v>
      </c>
      <c r="M710">
        <f t="shared" si="152"/>
        <v>0.33114499516458229</v>
      </c>
      <c r="N710" s="15">
        <v>1.812E-3</v>
      </c>
      <c r="O710" s="8">
        <f>(I710 - MAX(I602:I710)) / MAX(I602:I710)</f>
        <v>0</v>
      </c>
      <c r="P710" s="15">
        <v>2.8000000000000001E-2</v>
      </c>
      <c r="Q710">
        <f t="shared" si="153"/>
        <v>1.7451819608735373</v>
      </c>
      <c r="R710">
        <f t="shared" si="154"/>
        <v>1.0887421475273076E-2</v>
      </c>
      <c r="S710" s="15">
        <f t="shared" si="155"/>
        <v>7.3796389617816149E-2</v>
      </c>
    </row>
    <row r="711" spans="1:19" x14ac:dyDescent="0.3">
      <c r="A711" s="2">
        <v>45323</v>
      </c>
      <c r="B711">
        <v>2024</v>
      </c>
      <c r="C711">
        <v>2</v>
      </c>
      <c r="D711" t="s">
        <v>55</v>
      </c>
      <c r="E711" t="s">
        <v>26</v>
      </c>
      <c r="F711" t="s">
        <v>23</v>
      </c>
      <c r="G711" t="s">
        <v>35</v>
      </c>
      <c r="H711" t="s">
        <v>12</v>
      </c>
      <c r="I711">
        <v>149.27000000000001</v>
      </c>
      <c r="J711" s="8">
        <f t="shared" si="149"/>
        <v>5.216042856135903E-2</v>
      </c>
      <c r="K711" s="8">
        <f t="shared" si="150"/>
        <v>3.1318798406648671</v>
      </c>
      <c r="L711" s="6">
        <f t="shared" si="151"/>
        <v>5.021742856135903E-2</v>
      </c>
      <c r="M711">
        <f t="shared" si="152"/>
        <v>0.30659060040094371</v>
      </c>
      <c r="N711" s="15">
        <v>1.9430000000000001E-3</v>
      </c>
      <c r="O711" s="8">
        <f>(I711 - MAX(I602:I711)) / MAX(I602:I711)</f>
        <v>0</v>
      </c>
      <c r="P711" s="15">
        <v>4.9299999999999997E-2</v>
      </c>
      <c r="Q711">
        <f t="shared" si="153"/>
        <v>1.6269656228376825</v>
      </c>
      <c r="R711">
        <f t="shared" si="154"/>
        <v>5.3371433184713872E-3</v>
      </c>
      <c r="S711" s="15">
        <f t="shared" si="155"/>
        <v>7.2465309723438925E-2</v>
      </c>
    </row>
    <row r="712" spans="1:19" x14ac:dyDescent="0.3">
      <c r="A712" s="2">
        <v>45352</v>
      </c>
      <c r="B712">
        <v>2024</v>
      </c>
      <c r="C712">
        <v>3</v>
      </c>
      <c r="D712" t="s">
        <v>55</v>
      </c>
      <c r="E712" t="s">
        <v>26</v>
      </c>
      <c r="F712" t="s">
        <v>23</v>
      </c>
      <c r="G712" t="s">
        <v>35</v>
      </c>
      <c r="H712" t="s">
        <v>12</v>
      </c>
      <c r="I712">
        <v>159.82</v>
      </c>
      <c r="J712" s="8">
        <f t="shared" si="149"/>
        <v>7.0677296174716839E-2</v>
      </c>
      <c r="K712" s="8">
        <f t="shared" si="150"/>
        <v>3.4239099359218796</v>
      </c>
      <c r="L712" s="6">
        <f t="shared" si="151"/>
        <v>6.8719296174716837E-2</v>
      </c>
      <c r="M712">
        <f t="shared" si="152"/>
        <v>0.40945372240159011</v>
      </c>
      <c r="N712" s="15">
        <v>1.9580000000000001E-3</v>
      </c>
      <c r="O712" s="8">
        <f>(I712 - MAX(I602:I712)) / MAX(I602:I712)</f>
        <v>0</v>
      </c>
      <c r="P712" s="15">
        <v>4.2199999999999988E-2</v>
      </c>
      <c r="Q712">
        <f t="shared" si="153"/>
        <v>1.6352137021974802</v>
      </c>
      <c r="R712">
        <f t="shared" si="154"/>
        <v>9.3473927458920594E-3</v>
      </c>
      <c r="S712" s="15">
        <f t="shared" si="155"/>
        <v>7.2293584124900501E-2</v>
      </c>
    </row>
    <row r="713" spans="1:19" x14ac:dyDescent="0.3">
      <c r="A713" s="2">
        <v>45383</v>
      </c>
      <c r="B713">
        <v>2024</v>
      </c>
      <c r="C713">
        <v>4</v>
      </c>
      <c r="D713" t="s">
        <v>55</v>
      </c>
      <c r="E713" t="s">
        <v>26</v>
      </c>
      <c r="F713" t="s">
        <v>23</v>
      </c>
      <c r="G713" t="s">
        <v>35</v>
      </c>
      <c r="H713" t="s">
        <v>12</v>
      </c>
      <c r="I713">
        <v>152.66999999999999</v>
      </c>
      <c r="J713" s="8">
        <f t="shared" si="149"/>
        <v>-4.4737830058816208E-2</v>
      </c>
      <c r="K713" s="8">
        <f t="shared" si="150"/>
        <v>3.2259938050130987</v>
      </c>
      <c r="L713" s="6">
        <f t="shared" si="151"/>
        <v>-4.6775830058816206E-2</v>
      </c>
      <c r="M713">
        <f t="shared" si="152"/>
        <v>0.26028906127538487</v>
      </c>
      <c r="N713" s="15">
        <v>2.0379999999999999E-3</v>
      </c>
      <c r="O713" s="8">
        <f>(I713 - MAX(I602:I713)) / MAX(I602:I713)</f>
        <v>-4.4737830058816208E-2</v>
      </c>
      <c r="P713" s="15">
        <v>-3.1899999999999998E-2</v>
      </c>
      <c r="Q713">
        <f t="shared" si="153"/>
        <v>1.6385367630297829</v>
      </c>
      <c r="R713">
        <f t="shared" si="154"/>
        <v>4.6423396060657623E-3</v>
      </c>
      <c r="S713" s="15">
        <f t="shared" si="155"/>
        <v>7.3629540682014175E-2</v>
      </c>
    </row>
    <row r="714" spans="1:19" x14ac:dyDescent="0.3">
      <c r="A714" s="2">
        <v>45413</v>
      </c>
      <c r="B714">
        <v>2024</v>
      </c>
      <c r="C714">
        <v>5</v>
      </c>
      <c r="D714" t="s">
        <v>55</v>
      </c>
      <c r="E714" t="s">
        <v>26</v>
      </c>
      <c r="F714" t="s">
        <v>23</v>
      </c>
      <c r="G714" t="s">
        <v>35</v>
      </c>
      <c r="H714" t="s">
        <v>12</v>
      </c>
      <c r="I714">
        <v>149.76</v>
      </c>
      <c r="J714" s="8">
        <f t="shared" si="149"/>
        <v>-1.9060719198270758E-2</v>
      </c>
      <c r="K714" s="8">
        <f t="shared" si="150"/>
        <v>3.1454433237621124</v>
      </c>
      <c r="L714" s="6">
        <f t="shared" si="151"/>
        <v>-2.1160719198270759E-2</v>
      </c>
      <c r="M714">
        <f t="shared" si="152"/>
        <v>0.35950414399887587</v>
      </c>
      <c r="N714" s="15">
        <v>2.0999999999999999E-3</v>
      </c>
      <c r="O714" s="8">
        <f>(I714 - MAX(I602:I714)) / MAX(I602:I714)</f>
        <v>-6.2945814040795911E-2</v>
      </c>
      <c r="P714" s="15">
        <v>1.2699999999999999E-2</v>
      </c>
      <c r="Q714">
        <f t="shared" si="153"/>
        <v>1.5512314728620498</v>
      </c>
      <c r="R714">
        <f t="shared" si="154"/>
        <v>4.7806230938702045E-3</v>
      </c>
      <c r="S714" s="15">
        <f t="shared" si="155"/>
        <v>6.7705364959138564E-2</v>
      </c>
    </row>
    <row r="715" spans="1:19" x14ac:dyDescent="0.3">
      <c r="A715" s="2">
        <v>45444</v>
      </c>
      <c r="B715">
        <v>2024</v>
      </c>
      <c r="C715">
        <v>6</v>
      </c>
      <c r="D715" t="s">
        <v>55</v>
      </c>
      <c r="E715" t="s">
        <v>26</v>
      </c>
      <c r="F715" t="s">
        <v>23</v>
      </c>
      <c r="G715" t="s">
        <v>35</v>
      </c>
      <c r="H715" t="s">
        <v>12</v>
      </c>
      <c r="I715">
        <v>149.04</v>
      </c>
      <c r="J715" s="8">
        <f t="shared" si="149"/>
        <v>-4.8076923076923002E-3</v>
      </c>
      <c r="K715" s="8">
        <f t="shared" si="150"/>
        <v>3.1255133077824873</v>
      </c>
      <c r="L715" s="6">
        <f t="shared" si="151"/>
        <v>-6.8776923076922999E-3</v>
      </c>
      <c r="M715">
        <f t="shared" si="152"/>
        <v>0.22382374118795745</v>
      </c>
      <c r="N715" s="15">
        <v>2.0699999999999998E-3</v>
      </c>
      <c r="O715" s="8">
        <f>(I715 - MAX(I602:I715)) / MAX(I602:I715)</f>
        <v>-6.7450882242522853E-2</v>
      </c>
      <c r="P715" s="15">
        <v>-1.7999999999999999E-2</v>
      </c>
      <c r="Q715">
        <f t="shared" si="153"/>
        <v>1.4048227479225091</v>
      </c>
      <c r="R715">
        <f t="shared" si="154"/>
        <v>2.9892717373276641E-3</v>
      </c>
      <c r="S715" s="15">
        <f t="shared" si="155"/>
        <v>6.0596361291725298E-2</v>
      </c>
    </row>
    <row r="716" spans="1:19" x14ac:dyDescent="0.3">
      <c r="A716" s="2">
        <v>45474</v>
      </c>
      <c r="B716">
        <v>2024</v>
      </c>
      <c r="C716">
        <v>7</v>
      </c>
      <c r="D716" t="s">
        <v>55</v>
      </c>
      <c r="E716" t="s">
        <v>26</v>
      </c>
      <c r="F716" t="s">
        <v>23</v>
      </c>
      <c r="G716" t="s">
        <v>35</v>
      </c>
      <c r="H716" t="s">
        <v>12</v>
      </c>
      <c r="I716">
        <v>163.57</v>
      </c>
      <c r="J716" s="8">
        <f t="shared" si="149"/>
        <v>9.749060654857758E-2</v>
      </c>
      <c r="K716" s="8">
        <f t="shared" si="150"/>
        <v>3.5277121024824307</v>
      </c>
      <c r="L716" s="6">
        <f t="shared" si="151"/>
        <v>9.5441606548577584E-2</v>
      </c>
      <c r="M716">
        <f t="shared" si="152"/>
        <v>0.33445304170808221</v>
      </c>
      <c r="N716" s="15">
        <v>2.049E-3</v>
      </c>
      <c r="O716" s="8">
        <f>(I716 - MAX(I602:I716)) / MAX(I602:I716)</f>
        <v>0</v>
      </c>
      <c r="P716" s="15">
        <v>-4.3E-3</v>
      </c>
      <c r="Q716">
        <f t="shared" si="153"/>
        <v>1.3415239359646585</v>
      </c>
      <c r="R716">
        <f t="shared" si="154"/>
        <v>1.3864468363170502E-2</v>
      </c>
      <c r="S716" s="15">
        <f t="shared" si="155"/>
        <v>6.4724540602515174E-2</v>
      </c>
    </row>
    <row r="717" spans="1:19" x14ac:dyDescent="0.3">
      <c r="A717" s="2">
        <v>45505</v>
      </c>
      <c r="B717">
        <v>2024</v>
      </c>
      <c r="C717">
        <v>8</v>
      </c>
      <c r="D717" t="s">
        <v>55</v>
      </c>
      <c r="E717" t="s">
        <v>26</v>
      </c>
      <c r="F717" t="s">
        <v>23</v>
      </c>
      <c r="G717" t="s">
        <v>35</v>
      </c>
      <c r="H717" t="s">
        <v>12</v>
      </c>
      <c r="I717">
        <v>174.6</v>
      </c>
      <c r="J717" s="8">
        <f t="shared" si="149"/>
        <v>6.7432903344134015E-2</v>
      </c>
      <c r="K717" s="8">
        <f t="shared" si="150"/>
        <v>3.8330288750591945</v>
      </c>
      <c r="L717" s="6">
        <f t="shared" si="151"/>
        <v>6.5592903344134021E-2</v>
      </c>
      <c r="M717">
        <f t="shared" si="152"/>
        <v>0.48605760572881296</v>
      </c>
      <c r="N717" s="15">
        <v>1.8400000000000001E-3</v>
      </c>
      <c r="O717" s="8">
        <f>(I717 - MAX(I602:I717)) / MAX(I602:I717)</f>
        <v>0</v>
      </c>
      <c r="P717" s="15">
        <v>1.7500000000000002E-2</v>
      </c>
      <c r="Q717">
        <f t="shared" si="153"/>
        <v>1.3562052426369546</v>
      </c>
      <c r="R717">
        <f t="shared" si="154"/>
        <v>1.618742236137722E-2</v>
      </c>
      <c r="S717" s="15">
        <f t="shared" si="155"/>
        <v>6.2693538531695348E-2</v>
      </c>
    </row>
    <row r="718" spans="1:19" x14ac:dyDescent="0.3">
      <c r="A718" s="2">
        <v>45536</v>
      </c>
      <c r="B718">
        <v>2024</v>
      </c>
      <c r="C718">
        <v>9</v>
      </c>
      <c r="D718" t="s">
        <v>55</v>
      </c>
      <c r="E718" t="s">
        <v>26</v>
      </c>
      <c r="F718" t="s">
        <v>23</v>
      </c>
      <c r="G718" t="s">
        <v>35</v>
      </c>
      <c r="H718" t="s">
        <v>12</v>
      </c>
      <c r="I718">
        <v>179.65</v>
      </c>
      <c r="J718" s="8">
        <f t="shared" si="149"/>
        <v>2.8923253150057341E-2</v>
      </c>
      <c r="K718" s="8">
        <f t="shared" si="150"/>
        <v>3.9728157926940684</v>
      </c>
      <c r="L718" s="6">
        <f t="shared" si="151"/>
        <v>2.7117253150057342E-2</v>
      </c>
      <c r="M718">
        <f t="shared" si="152"/>
        <v>0.71704746164184796</v>
      </c>
      <c r="N718" s="15">
        <v>1.8060000000000001E-3</v>
      </c>
      <c r="O718" s="8">
        <f>(I718 - MAX(I602:I718)) / MAX(I602:I718)</f>
        <v>0</v>
      </c>
      <c r="P718" s="15">
        <v>8.6E-3</v>
      </c>
      <c r="Q718">
        <f t="shared" si="153"/>
        <v>1.1844636255402561</v>
      </c>
      <c r="R718">
        <f t="shared" si="154"/>
        <v>2.2525523268621252E-2</v>
      </c>
      <c r="S718" s="15">
        <f t="shared" si="155"/>
        <v>5.397747027394699E-2</v>
      </c>
    </row>
    <row r="719" spans="1:19" x14ac:dyDescent="0.3">
      <c r="A719" s="2">
        <v>45566</v>
      </c>
      <c r="B719">
        <v>2024</v>
      </c>
      <c r="C719">
        <v>10</v>
      </c>
      <c r="D719" t="s">
        <v>55</v>
      </c>
      <c r="E719" t="s">
        <v>26</v>
      </c>
      <c r="F719" t="s">
        <v>23</v>
      </c>
      <c r="G719" t="s">
        <v>35</v>
      </c>
      <c r="H719" t="s">
        <v>12</v>
      </c>
      <c r="I719">
        <v>197.9</v>
      </c>
      <c r="J719" s="8">
        <f t="shared" si="149"/>
        <v>0.10158641803506818</v>
      </c>
      <c r="K719" s="8">
        <f t="shared" si="150"/>
        <v>4.4779863366220765</v>
      </c>
      <c r="L719" s="6">
        <f t="shared" si="151"/>
        <v>9.9728418035068184E-2</v>
      </c>
      <c r="M719">
        <f t="shared" si="152"/>
        <v>0.84024055172708512</v>
      </c>
      <c r="N719" s="15">
        <v>1.8580000000000001E-3</v>
      </c>
      <c r="O719" s="8">
        <f>(I719 - MAX(I602:I719)) / MAX(I602:I719)</f>
        <v>0</v>
      </c>
      <c r="P719" s="15">
        <v>-3.4599999999999999E-2</v>
      </c>
      <c r="Q719">
        <f t="shared" si="153"/>
        <v>0.76895920850373534</v>
      </c>
      <c r="R719">
        <f t="shared" si="154"/>
        <v>3.6567456585982643E-2</v>
      </c>
      <c r="S719" s="15">
        <f t="shared" si="155"/>
        <v>5.5494097034872215E-2</v>
      </c>
    </row>
    <row r="720" spans="1:19" x14ac:dyDescent="0.3">
      <c r="A720" s="2">
        <v>45597</v>
      </c>
      <c r="B720">
        <v>2024</v>
      </c>
      <c r="C720">
        <v>11</v>
      </c>
      <c r="D720" t="s">
        <v>55</v>
      </c>
      <c r="E720" t="s">
        <v>26</v>
      </c>
      <c r="F720" t="s">
        <v>23</v>
      </c>
      <c r="G720" t="s">
        <v>35</v>
      </c>
      <c r="H720" t="s">
        <v>12</v>
      </c>
      <c r="I720">
        <v>220.96</v>
      </c>
      <c r="J720" s="8">
        <f t="shared" si="149"/>
        <v>0.11652349671551289</v>
      </c>
      <c r="K720" s="8">
        <f t="shared" si="150"/>
        <v>5.1163004595250836</v>
      </c>
      <c r="L720" s="6">
        <f t="shared" si="151"/>
        <v>0.11460249671551288</v>
      </c>
      <c r="M720">
        <f t="shared" si="152"/>
        <v>0.86487791298647521</v>
      </c>
      <c r="N720" s="15">
        <v>1.921E-3</v>
      </c>
      <c r="O720" s="8">
        <f>(I720 - MAX(I602:I720)) / MAX(I602:I720)</f>
        <v>0</v>
      </c>
      <c r="P720" s="15">
        <v>-4.7999999999999996E-3</v>
      </c>
      <c r="Q720">
        <f t="shared" si="153"/>
        <v>0.21245639174570924</v>
      </c>
      <c r="R720">
        <f t="shared" si="154"/>
        <v>4.2708924276178228E-2</v>
      </c>
      <c r="S720" s="15">
        <f t="shared" si="155"/>
        <v>5.0883039587472957E-2</v>
      </c>
    </row>
    <row r="721" spans="1:19" x14ac:dyDescent="0.3">
      <c r="A721" s="2">
        <v>45627</v>
      </c>
      <c r="B721">
        <v>2024</v>
      </c>
      <c r="C721">
        <v>12</v>
      </c>
      <c r="D721" t="s">
        <v>55</v>
      </c>
      <c r="E721" t="s">
        <v>26</v>
      </c>
      <c r="F721" t="s">
        <v>23</v>
      </c>
      <c r="G721" t="s">
        <v>35</v>
      </c>
      <c r="H721" t="s">
        <v>12</v>
      </c>
      <c r="I721">
        <v>205.42</v>
      </c>
      <c r="J721" s="8">
        <f t="shared" si="149"/>
        <v>-7.0329471397538104E-2</v>
      </c>
      <c r="K721" s="8">
        <f t="shared" si="150"/>
        <v>4.6861442812981648</v>
      </c>
      <c r="L721" s="6">
        <f t="shared" si="151"/>
        <v>-7.2145471397538102E-2</v>
      </c>
      <c r="M721">
        <f t="shared" si="152"/>
        <v>0.6049307752623696</v>
      </c>
      <c r="N721" s="15">
        <v>1.8159999999999999E-3</v>
      </c>
      <c r="O721" s="8">
        <f>(I721 - MAX(I602:I721)) / MAX(I602:I721)</f>
        <v>-7.0329471397538104E-2</v>
      </c>
      <c r="P721" s="15">
        <v>1.35E-2</v>
      </c>
      <c r="Q721">
        <f t="shared" si="153"/>
        <v>0.2172505880104946</v>
      </c>
      <c r="R721">
        <f t="shared" si="154"/>
        <v>3.5723150840121981E-2</v>
      </c>
      <c r="S721" s="15">
        <f t="shared" si="155"/>
        <v>6.0698984176394126E-2</v>
      </c>
    </row>
    <row r="722" spans="1:19" x14ac:dyDescent="0.3">
      <c r="A722" s="2">
        <v>42005</v>
      </c>
      <c r="B722">
        <v>2015</v>
      </c>
      <c r="C722">
        <v>1</v>
      </c>
      <c r="D722" t="s">
        <v>55</v>
      </c>
      <c r="E722" t="s">
        <v>27</v>
      </c>
      <c r="F722" t="s">
        <v>23</v>
      </c>
      <c r="G722" t="s">
        <v>35</v>
      </c>
      <c r="H722" t="s">
        <v>12</v>
      </c>
      <c r="I722">
        <v>62.43</v>
      </c>
      <c r="J722" s="8">
        <v>2.169625246548312E-2</v>
      </c>
      <c r="K722" s="8">
        <v>2.169625246548312E-2</v>
      </c>
      <c r="L722" s="6">
        <f t="shared" si="151"/>
        <v>2.1371252465483121E-2</v>
      </c>
      <c r="M722" t="str">
        <f>IF(COUNT(J722:J722)&lt;12,"",(AVERAGE(J722:J722)-N722)/STDEV(J722:J722))</f>
        <v/>
      </c>
      <c r="N722" s="15">
        <v>3.2499999999999999E-4</v>
      </c>
      <c r="O722" s="8">
        <f>(I722 - MAX(I722:I722)) / MAX(I722:I722)</f>
        <v>0</v>
      </c>
      <c r="P722" s="15">
        <v>6.5199999999999994E-2</v>
      </c>
    </row>
    <row r="723" spans="1:19" x14ac:dyDescent="0.3">
      <c r="A723" s="2">
        <v>42036</v>
      </c>
      <c r="B723">
        <v>2015</v>
      </c>
      <c r="C723">
        <v>2</v>
      </c>
      <c r="D723" t="s">
        <v>55</v>
      </c>
      <c r="E723" t="s">
        <v>27</v>
      </c>
      <c r="F723" t="s">
        <v>23</v>
      </c>
      <c r="G723" t="s">
        <v>35</v>
      </c>
      <c r="H723" t="s">
        <v>12</v>
      </c>
      <c r="I723">
        <v>67.59</v>
      </c>
      <c r="J723" s="8">
        <f t="shared" ref="J723:J754" si="156">(I723-I722)/I722</f>
        <v>8.2652570879384976E-2</v>
      </c>
      <c r="K723" s="8">
        <f t="shared" ref="K723:K754" si="157">(K722+1)*(J723+1)-1</f>
        <v>0.10614207438958845</v>
      </c>
      <c r="L723" s="6">
        <f t="shared" si="151"/>
        <v>8.2400570879384974E-2</v>
      </c>
      <c r="M723" t="str">
        <f>IF(COUNT(J722:J723)&lt;12,"",(AVERAGE(J722:J723)-N723)/STDEV(J722:J723))</f>
        <v/>
      </c>
      <c r="N723" s="15">
        <v>2.52E-4</v>
      </c>
      <c r="O723" s="8">
        <f>(I723 - MAX(I722:I723)) / MAX(I722:I723)</f>
        <v>0</v>
      </c>
      <c r="P723" s="15">
        <v>7.3899999999999993E-2</v>
      </c>
    </row>
    <row r="724" spans="1:19" x14ac:dyDescent="0.3">
      <c r="A724" s="2">
        <v>42064</v>
      </c>
      <c r="B724">
        <v>2015</v>
      </c>
      <c r="C724">
        <v>3</v>
      </c>
      <c r="D724" t="s">
        <v>55</v>
      </c>
      <c r="E724" t="s">
        <v>27</v>
      </c>
      <c r="F724" t="s">
        <v>23</v>
      </c>
      <c r="G724" t="s">
        <v>35</v>
      </c>
      <c r="H724" t="s">
        <v>12</v>
      </c>
      <c r="I724">
        <v>68.06</v>
      </c>
      <c r="J724" s="8">
        <f t="shared" si="156"/>
        <v>6.9536913744636612E-3</v>
      </c>
      <c r="K724" s="8">
        <f t="shared" si="157"/>
        <v>0.11383384499120264</v>
      </c>
      <c r="L724" s="6">
        <f t="shared" si="151"/>
        <v>6.7646913744636612E-3</v>
      </c>
      <c r="M724" t="str">
        <f>IF(COUNT(J722:J724)&lt;12,"",(AVERAGE(J722:J724)-N724)/STDEV(J722:J724))</f>
        <v/>
      </c>
      <c r="N724" s="15">
        <v>1.8900000000000001E-4</v>
      </c>
      <c r="O724" s="8">
        <f>(I724 - MAX(I722:I724)) / MAX(I722:I724)</f>
        <v>0</v>
      </c>
      <c r="P724" s="15">
        <v>2.7300000000000001E-2</v>
      </c>
    </row>
    <row r="725" spans="1:19" x14ac:dyDescent="0.3">
      <c r="A725" s="2">
        <v>42095</v>
      </c>
      <c r="B725">
        <v>2015</v>
      </c>
      <c r="C725">
        <v>4</v>
      </c>
      <c r="D725" t="s">
        <v>55</v>
      </c>
      <c r="E725" t="s">
        <v>27</v>
      </c>
      <c r="F725" t="s">
        <v>23</v>
      </c>
      <c r="G725" t="s">
        <v>35</v>
      </c>
      <c r="H725" t="s">
        <v>12</v>
      </c>
      <c r="I725">
        <v>62.49</v>
      </c>
      <c r="J725" s="8">
        <f t="shared" si="156"/>
        <v>-8.1839553335292387E-2</v>
      </c>
      <c r="K725" s="8">
        <f t="shared" si="157"/>
        <v>2.2678180627391242E-2</v>
      </c>
      <c r="L725" s="6">
        <f t="shared" si="151"/>
        <v>-8.1941553335292391E-2</v>
      </c>
      <c r="M725" t="str">
        <f>IF(COUNT(J722:J725)&lt;12,"",(AVERAGE(J722:J725)-N725)/STDEV(J722:J725))</f>
        <v/>
      </c>
      <c r="N725" s="15">
        <v>1.02E-4</v>
      </c>
      <c r="O725" s="8">
        <f>(I725 - MAX(I722:I725)) / MAX(I722:I725)</f>
        <v>-8.1839553335292387E-2</v>
      </c>
      <c r="P725" s="15">
        <v>-2.2100000000000002E-2</v>
      </c>
    </row>
    <row r="726" spans="1:19" x14ac:dyDescent="0.3">
      <c r="A726" s="2">
        <v>42125</v>
      </c>
      <c r="B726">
        <v>2015</v>
      </c>
      <c r="C726">
        <v>5</v>
      </c>
      <c r="D726" t="s">
        <v>55</v>
      </c>
      <c r="E726" t="s">
        <v>27</v>
      </c>
      <c r="F726" t="s">
        <v>23</v>
      </c>
      <c r="G726" t="s">
        <v>35</v>
      </c>
      <c r="H726" t="s">
        <v>12</v>
      </c>
      <c r="I726">
        <v>62.7</v>
      </c>
      <c r="J726" s="8">
        <f t="shared" si="156"/>
        <v>3.3605376860297784E-3</v>
      </c>
      <c r="K726" s="8">
        <f t="shared" si="157"/>
        <v>2.611492919406988E-2</v>
      </c>
      <c r="L726" s="6">
        <f t="shared" si="151"/>
        <v>2.8975376860297785E-3</v>
      </c>
      <c r="M726" t="str">
        <f>IF(COUNT(J722:J726)&lt;12,"",(AVERAGE(J722:J726)-N726)/STDEV(J722:J726))</f>
        <v/>
      </c>
      <c r="N726" s="15">
        <v>4.6299999999999998E-4</v>
      </c>
      <c r="O726" s="8">
        <f>(I726 - MAX(I722:I726)) / MAX(I722:I726)</f>
        <v>-7.8754040552453705E-2</v>
      </c>
      <c r="P726" s="15">
        <v>-1.24E-2</v>
      </c>
    </row>
    <row r="727" spans="1:19" x14ac:dyDescent="0.3">
      <c r="A727" s="2">
        <v>42156</v>
      </c>
      <c r="B727">
        <v>2015</v>
      </c>
      <c r="C727">
        <v>6</v>
      </c>
      <c r="D727" t="s">
        <v>55</v>
      </c>
      <c r="E727" t="s">
        <v>27</v>
      </c>
      <c r="F727" t="s">
        <v>23</v>
      </c>
      <c r="G727" t="s">
        <v>35</v>
      </c>
      <c r="H727" t="s">
        <v>12</v>
      </c>
      <c r="I727">
        <v>61.8</v>
      </c>
      <c r="J727" s="8">
        <f t="shared" si="156"/>
        <v>-1.4354066985646024E-2</v>
      </c>
      <c r="K727" s="8">
        <f t="shared" si="157"/>
        <v>1.1386006765446766E-2</v>
      </c>
      <c r="L727" s="6">
        <f t="shared" si="151"/>
        <v>-1.5015066985646024E-2</v>
      </c>
      <c r="M727" t="str">
        <f>IF(COUNT(J722:J727)&lt;12,"",(AVERAGE(J722:J727)-N727)/STDEV(J722:J727))</f>
        <v/>
      </c>
      <c r="N727" s="15">
        <v>6.6100000000000002E-4</v>
      </c>
      <c r="O727" s="8">
        <f>(I727 - MAX(I722:I727)) / MAX(I722:I727)</f>
        <v>-9.197766676461952E-2</v>
      </c>
      <c r="P727" s="15">
        <v>-4.0999999999999988E-2</v>
      </c>
    </row>
    <row r="728" spans="1:19" x14ac:dyDescent="0.3">
      <c r="A728" s="2">
        <v>42186</v>
      </c>
      <c r="B728">
        <v>2015</v>
      </c>
      <c r="C728">
        <v>7</v>
      </c>
      <c r="D728" t="s">
        <v>55</v>
      </c>
      <c r="E728" t="s">
        <v>27</v>
      </c>
      <c r="F728" t="s">
        <v>23</v>
      </c>
      <c r="G728" t="s">
        <v>35</v>
      </c>
      <c r="H728" t="s">
        <v>12</v>
      </c>
      <c r="I728">
        <v>65.430000000000007</v>
      </c>
      <c r="J728" s="8">
        <f t="shared" si="156"/>
        <v>5.8737864077670059E-2</v>
      </c>
      <c r="K728" s="8">
        <f t="shared" si="157"/>
        <v>7.0792660560893061E-2</v>
      </c>
      <c r="L728" s="6">
        <f t="shared" si="151"/>
        <v>5.8145864077670056E-2</v>
      </c>
      <c r="M728" t="str">
        <f>IF(COUNT(J722:J728)&lt;12,"",(AVERAGE(J722:J728)-N728)/STDEV(J722:J728))</f>
        <v/>
      </c>
      <c r="N728" s="15">
        <v>5.9199999999999997E-4</v>
      </c>
      <c r="O728" s="8">
        <f>(I728 - MAX(I722:I728)) / MAX(I722:I728)</f>
        <v>-3.8642374375550917E-2</v>
      </c>
      <c r="P728" s="15">
        <v>5.1499999999999997E-2</v>
      </c>
    </row>
    <row r="729" spans="1:19" x14ac:dyDescent="0.3">
      <c r="A729" s="2">
        <v>42217</v>
      </c>
      <c r="B729">
        <v>2015</v>
      </c>
      <c r="C729">
        <v>8</v>
      </c>
      <c r="D729" t="s">
        <v>55</v>
      </c>
      <c r="E729" t="s">
        <v>27</v>
      </c>
      <c r="F729" t="s">
        <v>23</v>
      </c>
      <c r="G729" t="s">
        <v>35</v>
      </c>
      <c r="H729" t="s">
        <v>12</v>
      </c>
      <c r="I729">
        <v>69.06</v>
      </c>
      <c r="J729" s="8">
        <f t="shared" si="156"/>
        <v>5.547913801008704E-2</v>
      </c>
      <c r="K729" s="8">
        <f t="shared" si="157"/>
        <v>0.13019931435633914</v>
      </c>
      <c r="L729" s="6">
        <f t="shared" si="151"/>
        <v>5.4972138010087039E-2</v>
      </c>
      <c r="M729" t="str">
        <f>IF(COUNT(J722:J729)&lt;12,"",(AVERAGE(J722:J729)-N729)/STDEV(J722:J729))</f>
        <v/>
      </c>
      <c r="N729" s="15">
        <v>5.0699999999999996E-4</v>
      </c>
      <c r="O729" s="8">
        <f>(I729 - MAX(I722:I729)) / MAX(I722:I729)</f>
        <v>0</v>
      </c>
      <c r="P729" s="15">
        <v>-9.1899999999999996E-2</v>
      </c>
    </row>
    <row r="730" spans="1:19" x14ac:dyDescent="0.3">
      <c r="A730" s="2">
        <v>42248</v>
      </c>
      <c r="B730">
        <v>2015</v>
      </c>
      <c r="C730">
        <v>9</v>
      </c>
      <c r="D730" t="s">
        <v>55</v>
      </c>
      <c r="E730" t="s">
        <v>27</v>
      </c>
      <c r="F730" t="s">
        <v>23</v>
      </c>
      <c r="G730" t="s">
        <v>35</v>
      </c>
      <c r="H730" t="s">
        <v>12</v>
      </c>
      <c r="I730">
        <v>67.08</v>
      </c>
      <c r="J730" s="8">
        <f t="shared" si="156"/>
        <v>-2.8670721112076511E-2</v>
      </c>
      <c r="K730" s="8">
        <f t="shared" si="157"/>
        <v>9.779568501336855E-2</v>
      </c>
      <c r="L730" s="6">
        <f t="shared" si="151"/>
        <v>-2.9215721112076511E-2</v>
      </c>
      <c r="M730" t="str">
        <f>IF(COUNT(J722:J730)&lt;12,"",(AVERAGE(J722:J730)-N730)/STDEV(J722:J730))</f>
        <v/>
      </c>
      <c r="N730" s="15">
        <v>5.4500000000000002E-4</v>
      </c>
      <c r="O730" s="8">
        <f>(I730 - MAX(I722:I730)) / MAX(I722:I730)</f>
        <v>-2.8670721112076511E-2</v>
      </c>
      <c r="P730" s="15">
        <v>-5.1700000000000003E-2</v>
      </c>
    </row>
    <row r="731" spans="1:19" x14ac:dyDescent="0.3">
      <c r="A731" s="2">
        <v>42278</v>
      </c>
      <c r="B731">
        <v>2015</v>
      </c>
      <c r="C731">
        <v>10</v>
      </c>
      <c r="D731" t="s">
        <v>55</v>
      </c>
      <c r="E731" t="s">
        <v>27</v>
      </c>
      <c r="F731" t="s">
        <v>23</v>
      </c>
      <c r="G731" t="s">
        <v>35</v>
      </c>
      <c r="H731" t="s">
        <v>12</v>
      </c>
      <c r="I731">
        <v>72.92</v>
      </c>
      <c r="J731" s="8">
        <f t="shared" si="156"/>
        <v>8.7060226595110368E-2</v>
      </c>
      <c r="K731" s="8">
        <f t="shared" si="157"/>
        <v>0.19337002610576692</v>
      </c>
      <c r="L731" s="6">
        <f t="shared" si="151"/>
        <v>8.6628226595110366E-2</v>
      </c>
      <c r="M731" t="str">
        <f>IF(COUNT(J722:J731)&lt;12,"",(AVERAGE(J722:J731)-N731)/STDEV(J722:J731))</f>
        <v/>
      </c>
      <c r="N731" s="15">
        <v>4.3199999999999998E-4</v>
      </c>
      <c r="O731" s="8">
        <f>(I731 - MAX(I722:I731)) / MAX(I722:I731)</f>
        <v>0</v>
      </c>
      <c r="P731" s="15">
        <v>0.1024</v>
      </c>
    </row>
    <row r="732" spans="1:19" x14ac:dyDescent="0.3">
      <c r="A732" s="2">
        <v>42309</v>
      </c>
      <c r="B732">
        <v>2015</v>
      </c>
      <c r="C732">
        <v>11</v>
      </c>
      <c r="D732" t="s">
        <v>55</v>
      </c>
      <c r="E732" t="s">
        <v>27</v>
      </c>
      <c r="F732" t="s">
        <v>23</v>
      </c>
      <c r="G732" t="s">
        <v>35</v>
      </c>
      <c r="H732" t="s">
        <v>12</v>
      </c>
      <c r="I732">
        <v>63.67</v>
      </c>
      <c r="J732" s="8">
        <f t="shared" si="156"/>
        <v>-0.12685134393856282</v>
      </c>
      <c r="K732" s="8">
        <f t="shared" si="157"/>
        <v>4.1989434478252541E-2</v>
      </c>
      <c r="L732" s="6">
        <f t="shared" si="151"/>
        <v>-0.12728134393856283</v>
      </c>
      <c r="M732" t="str">
        <f>IF(COUNT(J722:J732)&lt;12,"",(AVERAGE(J722:J732)-N732)/STDEV(J722:J732))</f>
        <v/>
      </c>
      <c r="N732" s="15">
        <v>4.2999999999999999E-4</v>
      </c>
      <c r="O732" s="8">
        <f>(I732 - MAX(I722:I732)) / MAX(I722:I732)</f>
        <v>-0.12685134393856282</v>
      </c>
      <c r="P732" s="15">
        <v>2.58E-2</v>
      </c>
    </row>
    <row r="733" spans="1:19" x14ac:dyDescent="0.3">
      <c r="A733" s="2">
        <v>42339</v>
      </c>
      <c r="B733">
        <v>2015</v>
      </c>
      <c r="C733">
        <v>12</v>
      </c>
      <c r="D733" t="s">
        <v>55</v>
      </c>
      <c r="E733" t="s">
        <v>27</v>
      </c>
      <c r="F733" t="s">
        <v>23</v>
      </c>
      <c r="G733" t="s">
        <v>35</v>
      </c>
      <c r="H733" t="s">
        <v>12</v>
      </c>
      <c r="I733">
        <v>60.6</v>
      </c>
      <c r="J733" s="8">
        <f t="shared" si="156"/>
        <v>-4.8217370818281771E-2</v>
      </c>
      <c r="K733" s="8">
        <f t="shared" si="157"/>
        <v>-8.2525564727171652E-3</v>
      </c>
      <c r="L733" s="6">
        <f t="shared" si="151"/>
        <v>-4.8672370818281768E-2</v>
      </c>
      <c r="M733">
        <f t="shared" ref="M733:M764" si="158">(AVERAGE(J722:J733)-AVERAGE(N722:N733))/STDEV(J722:J733)</f>
        <v>1.4005083556550352E-2</v>
      </c>
      <c r="N733" s="15">
        <v>4.55E-4</v>
      </c>
      <c r="O733" s="8">
        <f>(I733 - MAX(I722:I733)) / MAX(I722:I733)</f>
        <v>-0.1689522764673615</v>
      </c>
      <c r="P733" s="15">
        <v>-6.2300000000000001E-2</v>
      </c>
      <c r="Q733">
        <f t="shared" ref="Q733:Q764" si="159" xml:space="preserve"> _xlfn.COVARIANCE.P(J722:J733, P722:P733) / _xlfn.VAR.P(P722:P733)</f>
        <v>0.43740521423843443</v>
      </c>
      <c r="R733">
        <f t="shared" ref="R733:R764" si="160">AVERAGE(J722:J733)-(AVERAGE(N722:N733)+Q733*(AVERAGE(P722:P733)-AVERAGE(N722:N733)))</f>
        <v>-1.2566187030611878E-3</v>
      </c>
      <c r="S733" s="15">
        <f t="shared" ref="S733:S764" si="161">STDEV(J722:J733)</f>
        <v>6.5775074063489439E-2</v>
      </c>
    </row>
    <row r="734" spans="1:19" x14ac:dyDescent="0.3">
      <c r="A734" s="2">
        <v>42370</v>
      </c>
      <c r="B734">
        <v>2016</v>
      </c>
      <c r="C734">
        <v>1</v>
      </c>
      <c r="D734" t="s">
        <v>55</v>
      </c>
      <c r="E734" t="s">
        <v>27</v>
      </c>
      <c r="F734" t="s">
        <v>23</v>
      </c>
      <c r="G734" t="s">
        <v>35</v>
      </c>
      <c r="H734" t="s">
        <v>12</v>
      </c>
      <c r="I734">
        <v>59.73</v>
      </c>
      <c r="J734" s="8">
        <f t="shared" si="156"/>
        <v>-1.4356435643564432E-2</v>
      </c>
      <c r="K734" s="8">
        <f t="shared" si="157"/>
        <v>-2.249051482038622E-2</v>
      </c>
      <c r="L734" s="6">
        <f t="shared" si="151"/>
        <v>-1.4715435643564432E-2</v>
      </c>
      <c r="M734">
        <f t="shared" si="158"/>
        <v>-3.1807348646154393E-2</v>
      </c>
      <c r="N734" s="15">
        <v>3.59E-4</v>
      </c>
      <c r="O734" s="8">
        <f>(I734 - MAX(I722:I734)) / MAX(I722:I734)</f>
        <v>-0.18088315962698853</v>
      </c>
      <c r="P734" s="15">
        <v>-7.3899999999999993E-2</v>
      </c>
      <c r="Q734">
        <f t="shared" si="159"/>
        <v>0.41681173670844313</v>
      </c>
      <c r="R734">
        <f t="shared" si="160"/>
        <v>6.7141417761625824E-4</v>
      </c>
      <c r="S734" s="15">
        <f t="shared" si="161"/>
        <v>6.5583542473039394E-2</v>
      </c>
    </row>
    <row r="735" spans="1:19" x14ac:dyDescent="0.3">
      <c r="A735" s="2">
        <v>42401</v>
      </c>
      <c r="B735">
        <v>2016</v>
      </c>
      <c r="C735">
        <v>2</v>
      </c>
      <c r="D735" t="s">
        <v>55</v>
      </c>
      <c r="E735" t="s">
        <v>27</v>
      </c>
      <c r="F735" t="s">
        <v>23</v>
      </c>
      <c r="G735" t="s">
        <v>35</v>
      </c>
      <c r="H735" t="s">
        <v>12</v>
      </c>
      <c r="I735">
        <v>58.25</v>
      </c>
      <c r="J735" s="8">
        <f t="shared" si="156"/>
        <v>-2.4778168424577213E-2</v>
      </c>
      <c r="K735" s="8">
        <f t="shared" si="157"/>
        <v>-4.6711409480788446E-2</v>
      </c>
      <c r="L735" s="6">
        <f t="shared" si="151"/>
        <v>-2.4922168424577212E-2</v>
      </c>
      <c r="M735">
        <f t="shared" si="158"/>
        <v>-0.1834217715439439</v>
      </c>
      <c r="N735" s="15">
        <v>1.44E-4</v>
      </c>
      <c r="O735" s="8">
        <f>(I735 - MAX(I722:I735)) / MAX(I722:I735)</f>
        <v>-0.20117937465715854</v>
      </c>
      <c r="P735" s="15">
        <v>-3.2599999999999997E-2</v>
      </c>
      <c r="Q735">
        <f t="shared" si="159"/>
        <v>0.2956990031891501</v>
      </c>
      <c r="R735">
        <f t="shared" si="160"/>
        <v>-6.4517114500969282E-3</v>
      </c>
      <c r="S735" s="15">
        <f t="shared" si="161"/>
        <v>6.013244838228432E-2</v>
      </c>
    </row>
    <row r="736" spans="1:19" x14ac:dyDescent="0.3">
      <c r="A736" s="2">
        <v>42430</v>
      </c>
      <c r="B736">
        <v>2016</v>
      </c>
      <c r="C736">
        <v>3</v>
      </c>
      <c r="D736" t="s">
        <v>55</v>
      </c>
      <c r="E736" t="s">
        <v>27</v>
      </c>
      <c r="F736" t="s">
        <v>23</v>
      </c>
      <c r="G736" t="s">
        <v>35</v>
      </c>
      <c r="H736" t="s">
        <v>12</v>
      </c>
      <c r="I736">
        <v>63.31</v>
      </c>
      <c r="J736" s="8">
        <f t="shared" si="156"/>
        <v>8.6866952789699609E-2</v>
      </c>
      <c r="K736" s="8">
        <f t="shared" si="157"/>
        <v>3.6097865506803162E-2</v>
      </c>
      <c r="L736" s="6">
        <f t="shared" si="151"/>
        <v>8.6723952789699604E-2</v>
      </c>
      <c r="M736">
        <f t="shared" si="158"/>
        <v>-6.579891612273156E-2</v>
      </c>
      <c r="N736" s="15">
        <v>1.4300000000000001E-4</v>
      </c>
      <c r="O736" s="8">
        <f>(I736 - MAX(I722:I736)) / MAX(I722:I736)</f>
        <v>-0.13178826110806363</v>
      </c>
      <c r="P736" s="15">
        <v>2.01E-2</v>
      </c>
      <c r="Q736">
        <f t="shared" si="159"/>
        <v>0.3782694591784041</v>
      </c>
      <c r="R736">
        <f t="shared" si="160"/>
        <v>1.7153933723552247E-3</v>
      </c>
      <c r="S736" s="15">
        <f t="shared" si="161"/>
        <v>6.6358667927083434E-2</v>
      </c>
    </row>
    <row r="737" spans="1:19" x14ac:dyDescent="0.3">
      <c r="A737" s="2">
        <v>42461</v>
      </c>
      <c r="B737">
        <v>2016</v>
      </c>
      <c r="C737">
        <v>4</v>
      </c>
      <c r="D737" t="s">
        <v>55</v>
      </c>
      <c r="E737" t="s">
        <v>27</v>
      </c>
      <c r="F737" t="s">
        <v>23</v>
      </c>
      <c r="G737" t="s">
        <v>35</v>
      </c>
      <c r="H737" t="s">
        <v>12</v>
      </c>
      <c r="I737">
        <v>65.8</v>
      </c>
      <c r="J737" s="8">
        <f t="shared" si="156"/>
        <v>3.9330279576686063E-2</v>
      </c>
      <c r="K737" s="8">
        <f t="shared" si="157"/>
        <v>7.6847884225993424E-2</v>
      </c>
      <c r="L737" s="6">
        <f t="shared" si="151"/>
        <v>3.9218279576686062E-2</v>
      </c>
      <c r="M737">
        <f t="shared" si="158"/>
        <v>9.1625895065925056E-2</v>
      </c>
      <c r="N737" s="15">
        <v>1.12E-4</v>
      </c>
      <c r="O737" s="8">
        <f>(I737 - MAX(I722:I737)) / MAX(I722:I737)</f>
        <v>-9.7641250685682995E-2</v>
      </c>
      <c r="P737" s="15">
        <v>7.7000000000000002E-3</v>
      </c>
      <c r="Q737">
        <f t="shared" si="159"/>
        <v>0.37961062230209136</v>
      </c>
      <c r="R737">
        <f t="shared" si="160"/>
        <v>1.089122563056702E-2</v>
      </c>
      <c r="S737" s="15">
        <f t="shared" si="161"/>
        <v>6.2540445728705082E-2</v>
      </c>
    </row>
    <row r="738" spans="1:19" x14ac:dyDescent="0.3">
      <c r="A738" s="2">
        <v>42491</v>
      </c>
      <c r="B738">
        <v>2016</v>
      </c>
      <c r="C738">
        <v>5</v>
      </c>
      <c r="D738" t="s">
        <v>55</v>
      </c>
      <c r="E738" t="s">
        <v>27</v>
      </c>
      <c r="F738" t="s">
        <v>23</v>
      </c>
      <c r="G738" t="s">
        <v>35</v>
      </c>
      <c r="H738" t="s">
        <v>12</v>
      </c>
      <c r="I738">
        <v>74.27</v>
      </c>
      <c r="J738" s="8">
        <f t="shared" si="156"/>
        <v>0.12872340425531914</v>
      </c>
      <c r="K738" s="8">
        <f t="shared" si="157"/>
        <v>0.21546340974870115</v>
      </c>
      <c r="L738" s="6">
        <f t="shared" si="151"/>
        <v>0.12861240425531914</v>
      </c>
      <c r="M738">
        <f t="shared" si="158"/>
        <v>0.22566328103853256</v>
      </c>
      <c r="N738" s="15">
        <v>1.11E-4</v>
      </c>
      <c r="O738" s="8">
        <f>(I738 - MAX(I722:I738)) / MAX(I722:I738)</f>
        <v>0</v>
      </c>
      <c r="P738" s="15">
        <v>1.1599999999999999E-2</v>
      </c>
      <c r="Q738">
        <f t="shared" si="159"/>
        <v>0.45095626742293904</v>
      </c>
      <c r="R738">
        <f t="shared" si="160"/>
        <v>2.1422285807813385E-2</v>
      </c>
      <c r="S738" s="15">
        <f t="shared" si="161"/>
        <v>7.1817457957288652E-2</v>
      </c>
    </row>
    <row r="739" spans="1:19" x14ac:dyDescent="0.3">
      <c r="A739" s="2">
        <v>42522</v>
      </c>
      <c r="B739">
        <v>2016</v>
      </c>
      <c r="C739">
        <v>6</v>
      </c>
      <c r="D739" t="s">
        <v>55</v>
      </c>
      <c r="E739" t="s">
        <v>27</v>
      </c>
      <c r="F739" t="s">
        <v>23</v>
      </c>
      <c r="G739" t="s">
        <v>35</v>
      </c>
      <c r="H739" t="s">
        <v>12</v>
      </c>
      <c r="I739">
        <v>73.680000000000007</v>
      </c>
      <c r="J739" s="8">
        <f t="shared" si="156"/>
        <v>-7.9439881513395615E-3</v>
      </c>
      <c r="K739" s="8">
        <f t="shared" si="157"/>
        <v>0.20580778282327072</v>
      </c>
      <c r="L739" s="6">
        <f t="shared" si="151"/>
        <v>-7.9299881513395613E-3</v>
      </c>
      <c r="M739">
        <f t="shared" si="158"/>
        <v>0.23462778941906751</v>
      </c>
      <c r="N739" s="15">
        <v>-1.4E-5</v>
      </c>
      <c r="O739" s="8">
        <f>(I739 - MAX(I722:I739)) / MAX(I722:I739)</f>
        <v>-7.9439881513395615E-3</v>
      </c>
      <c r="P739" s="15">
        <v>-6.4899999999999999E-2</v>
      </c>
      <c r="Q739">
        <f t="shared" si="159"/>
        <v>0.43858286033304672</v>
      </c>
      <c r="R739">
        <f t="shared" si="160"/>
        <v>2.2718439826324068E-2</v>
      </c>
      <c r="S739" s="15">
        <f t="shared" si="161"/>
        <v>7.1589927502917469E-2</v>
      </c>
    </row>
    <row r="740" spans="1:19" x14ac:dyDescent="0.3">
      <c r="A740" s="2">
        <v>42552</v>
      </c>
      <c r="B740">
        <v>2016</v>
      </c>
      <c r="C740">
        <v>7</v>
      </c>
      <c r="D740" t="s">
        <v>55</v>
      </c>
      <c r="E740" t="s">
        <v>27</v>
      </c>
      <c r="F740" t="s">
        <v>23</v>
      </c>
      <c r="G740" t="s">
        <v>35</v>
      </c>
      <c r="H740" t="s">
        <v>12</v>
      </c>
      <c r="I740">
        <v>79.53</v>
      </c>
      <c r="J740" s="8">
        <f t="shared" si="156"/>
        <v>7.9397394136807728E-2</v>
      </c>
      <c r="K740" s="8">
        <f t="shared" si="157"/>
        <v>0.3015457786093203</v>
      </c>
      <c r="L740" s="6">
        <f t="shared" si="151"/>
        <v>7.9526394136807732E-2</v>
      </c>
      <c r="M740">
        <f t="shared" si="158"/>
        <v>0.25478894867947649</v>
      </c>
      <c r="N740" s="15">
        <v>-1.2899999999999999E-4</v>
      </c>
      <c r="O740" s="8">
        <f>(I740 - MAX(I722:I740)) / MAX(I722:I740)</f>
        <v>0</v>
      </c>
      <c r="P740" s="15">
        <v>4.3999999999999997E-2</v>
      </c>
      <c r="Q740">
        <f t="shared" si="159"/>
        <v>0.4731893393207926</v>
      </c>
      <c r="R740">
        <f t="shared" si="160"/>
        <v>2.5234696817163404E-2</v>
      </c>
      <c r="S740" s="15">
        <f t="shared" si="161"/>
        <v>7.2917987099645504E-2</v>
      </c>
    </row>
    <row r="741" spans="1:19" x14ac:dyDescent="0.3">
      <c r="A741" s="2">
        <v>42583</v>
      </c>
      <c r="B741">
        <v>2016</v>
      </c>
      <c r="C741">
        <v>8</v>
      </c>
      <c r="D741" t="s">
        <v>55</v>
      </c>
      <c r="E741" t="s">
        <v>27</v>
      </c>
      <c r="F741" t="s">
        <v>23</v>
      </c>
      <c r="G741" t="s">
        <v>35</v>
      </c>
      <c r="H741" t="s">
        <v>12</v>
      </c>
      <c r="I741">
        <v>79.33</v>
      </c>
      <c r="J741" s="8">
        <f t="shared" si="156"/>
        <v>-2.5147742990067E-3</v>
      </c>
      <c r="K741" s="8">
        <f t="shared" si="157"/>
        <v>0.29827268473629287</v>
      </c>
      <c r="L741" s="6">
        <f t="shared" si="151"/>
        <v>-2.4047742990067002E-3</v>
      </c>
      <c r="M741">
        <f t="shared" si="158"/>
        <v>0.19113308295648143</v>
      </c>
      <c r="N741" s="15">
        <v>-1.1E-4</v>
      </c>
      <c r="O741" s="8">
        <f>(I741 - MAX(I722:I741)) / MAX(I722:I741)</f>
        <v>-2.5147742990067E-3</v>
      </c>
      <c r="P741" s="15">
        <v>1.0800000000000001E-2</v>
      </c>
      <c r="Q741">
        <f t="shared" si="159"/>
        <v>0.66327862955960915</v>
      </c>
      <c r="R741">
        <f t="shared" si="160"/>
        <v>1.7416467756043164E-2</v>
      </c>
      <c r="S741" s="15">
        <f t="shared" si="161"/>
        <v>7.2186811934554646E-2</v>
      </c>
    </row>
    <row r="742" spans="1:19" x14ac:dyDescent="0.3">
      <c r="A742" s="2">
        <v>42614</v>
      </c>
      <c r="B742">
        <v>2016</v>
      </c>
      <c r="C742">
        <v>9</v>
      </c>
      <c r="D742" t="s">
        <v>55</v>
      </c>
      <c r="E742" t="s">
        <v>27</v>
      </c>
      <c r="F742" t="s">
        <v>23</v>
      </c>
      <c r="G742" t="s">
        <v>35</v>
      </c>
      <c r="H742" t="s">
        <v>12</v>
      </c>
      <c r="I742">
        <v>77.03</v>
      </c>
      <c r="J742" s="8">
        <f t="shared" si="156"/>
        <v>-2.8992814824152242E-2</v>
      </c>
      <c r="K742" s="8">
        <f t="shared" si="157"/>
        <v>0.26063210519647839</v>
      </c>
      <c r="L742" s="6">
        <f t="shared" si="151"/>
        <v>-2.8922814824152241E-2</v>
      </c>
      <c r="M742">
        <f t="shared" si="158"/>
        <v>0.19142516124789841</v>
      </c>
      <c r="N742" s="15">
        <v>-6.9999999999999994E-5</v>
      </c>
      <c r="O742" s="8">
        <f>(I742 - MAX(I722:I742)) / MAX(I722:I742)</f>
        <v>-3.1434678737583301E-2</v>
      </c>
      <c r="P742" s="15">
        <v>-6.8999999999999999E-3</v>
      </c>
      <c r="Q742">
        <f t="shared" si="159"/>
        <v>0.65027323717810659</v>
      </c>
      <c r="R742">
        <f t="shared" si="160"/>
        <v>1.4908899434303541E-2</v>
      </c>
      <c r="S742" s="15">
        <f t="shared" si="161"/>
        <v>7.2204179853237155E-2</v>
      </c>
    </row>
    <row r="743" spans="1:19" x14ac:dyDescent="0.3">
      <c r="A743" s="2">
        <v>42644</v>
      </c>
      <c r="B743">
        <v>2016</v>
      </c>
      <c r="C743">
        <v>10</v>
      </c>
      <c r="D743" t="s">
        <v>55</v>
      </c>
      <c r="E743" t="s">
        <v>27</v>
      </c>
      <c r="F743" t="s">
        <v>23</v>
      </c>
      <c r="G743" t="s">
        <v>35</v>
      </c>
      <c r="H743" t="s">
        <v>12</v>
      </c>
      <c r="I743">
        <v>73.92</v>
      </c>
      <c r="J743" s="8">
        <f t="shared" si="156"/>
        <v>-4.0373880306374135E-2</v>
      </c>
      <c r="K743" s="8">
        <f t="shared" si="157"/>
        <v>0.20973549547090342</v>
      </c>
      <c r="L743" s="6">
        <f t="shared" si="151"/>
        <v>-4.0375880306374137E-2</v>
      </c>
      <c r="M743">
        <f t="shared" si="158"/>
        <v>4.6383498462312656E-2</v>
      </c>
      <c r="N743" s="15">
        <v>1.9999999999999999E-6</v>
      </c>
      <c r="O743" s="8">
        <f>(I743 - MAX(I722:I743)) / MAX(I722:I743)</f>
        <v>-7.0539419087136915E-2</v>
      </c>
      <c r="P743" s="15">
        <v>1.77E-2</v>
      </c>
      <c r="Q743">
        <f t="shared" si="159"/>
        <v>0.51428785236281638</v>
      </c>
      <c r="R743">
        <f t="shared" si="160"/>
        <v>7.7094540711019465E-3</v>
      </c>
      <c r="S743" s="15">
        <f t="shared" si="161"/>
        <v>6.9809766477304747E-2</v>
      </c>
    </row>
    <row r="744" spans="1:19" x14ac:dyDescent="0.3">
      <c r="A744" s="2">
        <v>42675</v>
      </c>
      <c r="B744">
        <v>2016</v>
      </c>
      <c r="C744">
        <v>11</v>
      </c>
      <c r="D744" t="s">
        <v>55</v>
      </c>
      <c r="E744" t="s">
        <v>27</v>
      </c>
      <c r="F744" t="s">
        <v>23</v>
      </c>
      <c r="G744" t="s">
        <v>35</v>
      </c>
      <c r="H744" t="s">
        <v>12</v>
      </c>
      <c r="I744">
        <v>77.19</v>
      </c>
      <c r="J744" s="8">
        <f t="shared" si="156"/>
        <v>4.4237012987012929E-2</v>
      </c>
      <c r="K744" s="8">
        <f t="shared" si="157"/>
        <v>0.26325058029490034</v>
      </c>
      <c r="L744" s="6">
        <f t="shared" si="151"/>
        <v>4.407901298701293E-2</v>
      </c>
      <c r="M744">
        <f t="shared" si="158"/>
        <v>0.3067084621818999</v>
      </c>
      <c r="N744" s="15">
        <v>1.5799999999999999E-4</v>
      </c>
      <c r="O744" s="8">
        <f>(I744 - MAX(I722:I744)) / MAX(I722:I744)</f>
        <v>-2.9422859298378012E-2</v>
      </c>
      <c r="P744" s="15">
        <v>-1.1999999999999999E-3</v>
      </c>
      <c r="Q744">
        <f t="shared" si="159"/>
        <v>0.87014072305995793</v>
      </c>
      <c r="R744">
        <f t="shared" si="160"/>
        <v>2.7021510381932547E-2</v>
      </c>
      <c r="S744" s="15">
        <f t="shared" si="161"/>
        <v>5.711629478766387E-2</v>
      </c>
    </row>
    <row r="745" spans="1:19" x14ac:dyDescent="0.3">
      <c r="A745" s="2">
        <v>42705</v>
      </c>
      <c r="B745">
        <v>2016</v>
      </c>
      <c r="C745">
        <v>12</v>
      </c>
      <c r="D745" t="s">
        <v>55</v>
      </c>
      <c r="E745" t="s">
        <v>27</v>
      </c>
      <c r="F745" t="s">
        <v>23</v>
      </c>
      <c r="G745" t="s">
        <v>35</v>
      </c>
      <c r="H745" t="s">
        <v>12</v>
      </c>
      <c r="I745">
        <v>75.64</v>
      </c>
      <c r="J745" s="8">
        <f t="shared" si="156"/>
        <v>-2.0080321285140527E-2</v>
      </c>
      <c r="K745" s="8">
        <f t="shared" si="157"/>
        <v>0.23788410277893868</v>
      </c>
      <c r="L745" s="6">
        <f t="shared" si="151"/>
        <v>-2.0290321285140526E-2</v>
      </c>
      <c r="M745">
        <f t="shared" si="158"/>
        <v>0.36353412652713107</v>
      </c>
      <c r="N745" s="15">
        <v>2.1000000000000001E-4</v>
      </c>
      <c r="O745" s="8">
        <f>(I745 - MAX(I722:I745)) / MAX(I722:I745)</f>
        <v>-4.8912360115679628E-2</v>
      </c>
      <c r="P745" s="15">
        <v>7.8299999999999995E-2</v>
      </c>
      <c r="Q745">
        <f t="shared" si="159"/>
        <v>0.35425726670339536</v>
      </c>
      <c r="R745">
        <f t="shared" si="160"/>
        <v>1.9594383976162054E-2</v>
      </c>
      <c r="S745" s="15">
        <f t="shared" si="161"/>
        <v>5.4694237166196216E-2</v>
      </c>
    </row>
    <row r="746" spans="1:19" x14ac:dyDescent="0.3">
      <c r="A746" s="2">
        <v>42736</v>
      </c>
      <c r="B746">
        <v>2017</v>
      </c>
      <c r="C746">
        <v>1</v>
      </c>
      <c r="D746" t="s">
        <v>55</v>
      </c>
      <c r="E746" t="s">
        <v>27</v>
      </c>
      <c r="F746" t="s">
        <v>23</v>
      </c>
      <c r="G746" t="s">
        <v>35</v>
      </c>
      <c r="H746" t="s">
        <v>12</v>
      </c>
      <c r="I746">
        <v>79.42</v>
      </c>
      <c r="J746" s="8">
        <f t="shared" si="156"/>
        <v>4.9973558963511383E-2</v>
      </c>
      <c r="K746" s="8">
        <f t="shared" si="157"/>
        <v>0.29974557697915527</v>
      </c>
      <c r="L746" s="6">
        <f t="shared" si="151"/>
        <v>4.9764558963511382E-2</v>
      </c>
      <c r="M746">
        <f t="shared" si="158"/>
        <v>0.46620161932051357</v>
      </c>
      <c r="N746" s="15">
        <v>2.0900000000000001E-4</v>
      </c>
      <c r="O746" s="8">
        <f>(I746 - MAX(I722:I746)) / MAX(I722:I746)</f>
        <v>-1.3831258644536582E-3</v>
      </c>
      <c r="P746" s="15">
        <v>-1.8200000000000001E-2</v>
      </c>
      <c r="Q746">
        <f t="shared" si="159"/>
        <v>0.25037575723470124</v>
      </c>
      <c r="R746">
        <f t="shared" si="160"/>
        <v>2.3887124414008677E-2</v>
      </c>
      <c r="S746" s="15">
        <f t="shared" si="161"/>
        <v>5.4175175656865318E-2</v>
      </c>
    </row>
    <row r="747" spans="1:19" x14ac:dyDescent="0.3">
      <c r="A747" s="2">
        <v>42767</v>
      </c>
      <c r="B747">
        <v>2017</v>
      </c>
      <c r="C747">
        <v>2</v>
      </c>
      <c r="D747" t="s">
        <v>55</v>
      </c>
      <c r="E747" t="s">
        <v>27</v>
      </c>
      <c r="F747" t="s">
        <v>23</v>
      </c>
      <c r="G747" t="s">
        <v>35</v>
      </c>
      <c r="H747" t="s">
        <v>12</v>
      </c>
      <c r="I747">
        <v>82.27</v>
      </c>
      <c r="J747" s="8">
        <f t="shared" si="156"/>
        <v>3.5885167464114763E-2</v>
      </c>
      <c r="K747" s="8">
        <f t="shared" si="157"/>
        <v>0.34638716466979469</v>
      </c>
      <c r="L747" s="6">
        <f t="shared" si="151"/>
        <v>3.5670167464114763E-2</v>
      </c>
      <c r="M747">
        <f t="shared" si="158"/>
        <v>0.584424152863396</v>
      </c>
      <c r="N747" s="15">
        <v>2.1499999999999999E-4</v>
      </c>
      <c r="O747" s="8">
        <f>(I747 - MAX(I722:I747)) / MAX(I722:I747)</f>
        <v>0</v>
      </c>
      <c r="P747" s="15">
        <v>2.75E-2</v>
      </c>
      <c r="Q747">
        <f t="shared" si="159"/>
        <v>0.12348189744647353</v>
      </c>
      <c r="R747">
        <f t="shared" si="160"/>
        <v>2.9012823802360192E-2</v>
      </c>
      <c r="S747" s="15">
        <f t="shared" si="161"/>
        <v>5.1856029210595074E-2</v>
      </c>
    </row>
    <row r="748" spans="1:19" x14ac:dyDescent="0.3">
      <c r="A748" s="2">
        <v>42795</v>
      </c>
      <c r="B748">
        <v>2017</v>
      </c>
      <c r="C748">
        <v>3</v>
      </c>
      <c r="D748" t="s">
        <v>55</v>
      </c>
      <c r="E748" t="s">
        <v>27</v>
      </c>
      <c r="F748" t="s">
        <v>23</v>
      </c>
      <c r="G748" t="s">
        <v>35</v>
      </c>
      <c r="H748" t="s">
        <v>12</v>
      </c>
      <c r="I748">
        <v>79.62</v>
      </c>
      <c r="J748" s="8">
        <f t="shared" si="156"/>
        <v>-3.2211012519751933E-2</v>
      </c>
      <c r="K748" s="8">
        <f t="shared" si="157"/>
        <v>0.3030186708521827</v>
      </c>
      <c r="L748" s="6">
        <f t="shared" si="151"/>
        <v>-3.2501012519751932E-2</v>
      </c>
      <c r="M748">
        <f t="shared" si="158"/>
        <v>0.39589009736225023</v>
      </c>
      <c r="N748" s="15">
        <v>2.9E-4</v>
      </c>
      <c r="O748" s="8">
        <f>(I748 - MAX(I722:I748)) / MAX(I722:I748)</f>
        <v>-3.2211012519751933E-2</v>
      </c>
      <c r="P748" s="15">
        <v>5.4600000000000003E-2</v>
      </c>
      <c r="Q748">
        <f t="shared" si="159"/>
        <v>-8.9921918038393209E-2</v>
      </c>
      <c r="R748">
        <f t="shared" si="160"/>
        <v>2.1569580969543201E-2</v>
      </c>
      <c r="S748" s="15">
        <f t="shared" si="161"/>
        <v>5.1454942425181054E-2</v>
      </c>
    </row>
    <row r="749" spans="1:19" x14ac:dyDescent="0.3">
      <c r="A749" s="2">
        <v>42826</v>
      </c>
      <c r="B749">
        <v>2017</v>
      </c>
      <c r="C749">
        <v>4</v>
      </c>
      <c r="D749" t="s">
        <v>55</v>
      </c>
      <c r="E749" t="s">
        <v>27</v>
      </c>
      <c r="F749" t="s">
        <v>23</v>
      </c>
      <c r="G749" t="s">
        <v>35</v>
      </c>
      <c r="H749" t="s">
        <v>12</v>
      </c>
      <c r="I749">
        <v>84.19</v>
      </c>
      <c r="J749" s="8">
        <f t="shared" si="156"/>
        <v>5.7397638784224977E-2</v>
      </c>
      <c r="K749" s="8">
        <f t="shared" si="157"/>
        <v>0.37780886585085716</v>
      </c>
      <c r="L749" s="6">
        <f t="shared" si="151"/>
        <v>5.7209638784224977E-2</v>
      </c>
      <c r="M749">
        <f t="shared" si="158"/>
        <v>0.41804286661381329</v>
      </c>
      <c r="N749" s="15">
        <v>1.8799999999999999E-4</v>
      </c>
      <c r="O749" s="8">
        <f>(I749 - MAX(I722:I749)) / MAX(I722:I749)</f>
        <v>0</v>
      </c>
      <c r="P749" s="15">
        <v>1.6799999999999999E-2</v>
      </c>
      <c r="Q749">
        <f t="shared" si="159"/>
        <v>-7.5312806647950786E-2</v>
      </c>
      <c r="R749">
        <f t="shared" si="160"/>
        <v>2.2930688503416282E-2</v>
      </c>
      <c r="S749" s="15">
        <f t="shared" si="161"/>
        <v>5.2314687911272792E-2</v>
      </c>
    </row>
    <row r="750" spans="1:19" x14ac:dyDescent="0.3">
      <c r="A750" s="2">
        <v>42856</v>
      </c>
      <c r="B750">
        <v>2017</v>
      </c>
      <c r="C750">
        <v>5</v>
      </c>
      <c r="D750" t="s">
        <v>55</v>
      </c>
      <c r="E750" t="s">
        <v>27</v>
      </c>
      <c r="F750" t="s">
        <v>23</v>
      </c>
      <c r="G750" t="s">
        <v>35</v>
      </c>
      <c r="H750" t="s">
        <v>12</v>
      </c>
      <c r="I750">
        <v>85.87</v>
      </c>
      <c r="J750" s="8">
        <f t="shared" si="156"/>
        <v>1.9954863998099617E-2</v>
      </c>
      <c r="K750" s="8">
        <f t="shared" si="157"/>
        <v>0.4053028543842867</v>
      </c>
      <c r="L750" s="6">
        <f t="shared" si="151"/>
        <v>1.9674863998099618E-2</v>
      </c>
      <c r="M750">
        <f t="shared" si="158"/>
        <v>0.3186671689212997</v>
      </c>
      <c r="N750" s="15">
        <v>2.7999999999999998E-4</v>
      </c>
      <c r="O750" s="8">
        <f>(I750 - MAX(I722:I750)) / MAX(I722:I750)</f>
        <v>0</v>
      </c>
      <c r="P750" s="15">
        <v>-1.4E-3</v>
      </c>
      <c r="Q750">
        <f t="shared" si="159"/>
        <v>-6.169531769226351E-2</v>
      </c>
      <c r="R750">
        <f t="shared" si="160"/>
        <v>1.3593029651001424E-2</v>
      </c>
      <c r="S750" s="15">
        <f t="shared" si="161"/>
        <v>4.0141109575132623E-2</v>
      </c>
    </row>
    <row r="751" spans="1:19" x14ac:dyDescent="0.3">
      <c r="A751" s="2">
        <v>42887</v>
      </c>
      <c r="B751">
        <v>2017</v>
      </c>
      <c r="C751">
        <v>6</v>
      </c>
      <c r="D751" t="s">
        <v>55</v>
      </c>
      <c r="E751" t="s">
        <v>27</v>
      </c>
      <c r="F751" t="s">
        <v>23</v>
      </c>
      <c r="G751" t="s">
        <v>35</v>
      </c>
      <c r="H751" t="s">
        <v>12</v>
      </c>
      <c r="I751">
        <v>85.4</v>
      </c>
      <c r="J751" s="8">
        <f t="shared" si="156"/>
        <v>-5.4733900081518436E-3</v>
      </c>
      <c r="K751" s="8">
        <f t="shared" si="157"/>
        <v>0.39761108378267251</v>
      </c>
      <c r="L751" s="6">
        <f t="shared" si="151"/>
        <v>-5.6823900081518436E-3</v>
      </c>
      <c r="M751">
        <f t="shared" si="158"/>
        <v>0.32422500304062901</v>
      </c>
      <c r="N751" s="15">
        <v>2.0900000000000001E-4</v>
      </c>
      <c r="O751" s="8">
        <f>(I751 - MAX(I722:I751)) / MAX(I722:I751)</f>
        <v>-5.4733900081518436E-3</v>
      </c>
      <c r="P751" s="15">
        <v>-3.1699999999999999E-2</v>
      </c>
      <c r="Q751">
        <f t="shared" si="159"/>
        <v>-0.15966572133907506</v>
      </c>
      <c r="R751">
        <f t="shared" si="160"/>
        <v>1.5491666269552971E-2</v>
      </c>
      <c r="S751" s="15">
        <f t="shared" si="161"/>
        <v>4.0030699265060775E-2</v>
      </c>
    </row>
    <row r="752" spans="1:19" x14ac:dyDescent="0.3">
      <c r="A752" s="2">
        <v>42917</v>
      </c>
      <c r="B752">
        <v>2017</v>
      </c>
      <c r="C752">
        <v>7</v>
      </c>
      <c r="D752" t="s">
        <v>55</v>
      </c>
      <c r="E752" t="s">
        <v>27</v>
      </c>
      <c r="F752" t="s">
        <v>23</v>
      </c>
      <c r="G752" t="s">
        <v>35</v>
      </c>
      <c r="H752" t="s">
        <v>12</v>
      </c>
      <c r="I752">
        <v>91.22</v>
      </c>
      <c r="J752" s="8">
        <f t="shared" si="156"/>
        <v>6.8149882903981177E-2</v>
      </c>
      <c r="K752" s="8">
        <f t="shared" si="157"/>
        <v>0.49285811548776803</v>
      </c>
      <c r="L752" s="6">
        <f t="shared" si="151"/>
        <v>6.7769882903981171E-2</v>
      </c>
      <c r="M752">
        <f t="shared" si="158"/>
        <v>0.31217765051401519</v>
      </c>
      <c r="N752" s="15">
        <v>3.8000000000000002E-4</v>
      </c>
      <c r="O752" s="8">
        <f>(I752 - MAX(I722:I752)) / MAX(I722:I752)</f>
        <v>0</v>
      </c>
      <c r="P752" s="15">
        <v>2.2000000000000001E-3</v>
      </c>
      <c r="Q752">
        <f t="shared" si="159"/>
        <v>-0.43364348936149755</v>
      </c>
      <c r="R752">
        <f t="shared" si="160"/>
        <v>1.7294717928825996E-2</v>
      </c>
      <c r="S752" s="15">
        <f t="shared" si="161"/>
        <v>3.8437230537718838E-2</v>
      </c>
    </row>
    <row r="753" spans="1:19" x14ac:dyDescent="0.3">
      <c r="A753" s="2">
        <v>42948</v>
      </c>
      <c r="B753">
        <v>2017</v>
      </c>
      <c r="C753">
        <v>8</v>
      </c>
      <c r="D753" t="s">
        <v>55</v>
      </c>
      <c r="E753" t="s">
        <v>27</v>
      </c>
      <c r="F753" t="s">
        <v>23</v>
      </c>
      <c r="G753" t="s">
        <v>35</v>
      </c>
      <c r="H753" t="s">
        <v>12</v>
      </c>
      <c r="I753">
        <v>92.92</v>
      </c>
      <c r="J753" s="8">
        <f t="shared" si="156"/>
        <v>1.8636263977198014E-2</v>
      </c>
      <c r="K753" s="8">
        <f t="shared" si="157"/>
        <v>0.52067941340850044</v>
      </c>
      <c r="L753" s="6">
        <f t="shared" si="151"/>
        <v>1.8348263977198014E-2</v>
      </c>
      <c r="M753">
        <f t="shared" si="158"/>
        <v>0.3595102193400474</v>
      </c>
      <c r="N753" s="15">
        <v>2.8800000000000001E-4</v>
      </c>
      <c r="O753" s="8">
        <f>(I753 - MAX(I722:I753)) / MAX(I722:I753)</f>
        <v>0</v>
      </c>
      <c r="P753" s="15">
        <v>-8.1000000000000013E-3</v>
      </c>
      <c r="Q753">
        <f t="shared" si="159"/>
        <v>-0.42932298943351288</v>
      </c>
      <c r="R753">
        <f t="shared" si="160"/>
        <v>1.8280954719423481E-2</v>
      </c>
      <c r="S753" s="15">
        <f t="shared" si="161"/>
        <v>3.8187131934893849E-2</v>
      </c>
    </row>
    <row r="754" spans="1:19" x14ac:dyDescent="0.3">
      <c r="A754" s="2">
        <v>42979</v>
      </c>
      <c r="B754">
        <v>2017</v>
      </c>
      <c r="C754">
        <v>9</v>
      </c>
      <c r="D754" t="s">
        <v>55</v>
      </c>
      <c r="E754" t="s">
        <v>27</v>
      </c>
      <c r="F754" t="s">
        <v>23</v>
      </c>
      <c r="G754" t="s">
        <v>35</v>
      </c>
      <c r="H754" t="s">
        <v>12</v>
      </c>
      <c r="I754">
        <v>93.39</v>
      </c>
      <c r="J754" s="8">
        <f t="shared" si="156"/>
        <v>5.0581145071028717E-3</v>
      </c>
      <c r="K754" s="8">
        <f t="shared" si="157"/>
        <v>0.52837118401011463</v>
      </c>
      <c r="L754" s="6">
        <f t="shared" si="151"/>
        <v>4.7691145071028715E-3</v>
      </c>
      <c r="M754">
        <f t="shared" si="158"/>
        <v>0.46055752487229129</v>
      </c>
      <c r="N754" s="15">
        <v>2.8899999999999998E-4</v>
      </c>
      <c r="O754" s="8">
        <f>(I754 - MAX(I722:I754)) / MAX(I722:I754)</f>
        <v>0</v>
      </c>
      <c r="P754" s="15">
        <v>5.0700000000000002E-2</v>
      </c>
      <c r="Q754">
        <f t="shared" si="159"/>
        <v>-0.50278789461906637</v>
      </c>
      <c r="R754">
        <f t="shared" si="160"/>
        <v>2.4265934653411824E-2</v>
      </c>
      <c r="S754" s="15">
        <f t="shared" si="161"/>
        <v>3.5905015253134748E-2</v>
      </c>
    </row>
    <row r="755" spans="1:19" x14ac:dyDescent="0.3">
      <c r="A755" s="2">
        <v>43009</v>
      </c>
      <c r="B755">
        <v>2017</v>
      </c>
      <c r="C755">
        <v>10</v>
      </c>
      <c r="D755" t="s">
        <v>55</v>
      </c>
      <c r="E755" t="s">
        <v>27</v>
      </c>
      <c r="F755" t="s">
        <v>23</v>
      </c>
      <c r="G755" t="s">
        <v>35</v>
      </c>
      <c r="H755" t="s">
        <v>12</v>
      </c>
      <c r="I755">
        <v>92.76</v>
      </c>
      <c r="J755" s="8">
        <f t="shared" ref="J755:J786" si="162">(I755-I754)/I754</f>
        <v>-6.7459042724059906E-3</v>
      </c>
      <c r="K755" s="8">
        <f t="shared" ref="K755:K786" si="163">(K754+1)*(J755+1)-1</f>
        <v>0.51806093831007871</v>
      </c>
      <c r="L755" s="6">
        <f t="shared" si="151"/>
        <v>-7.055904272405991E-3</v>
      </c>
      <c r="M755">
        <f t="shared" si="158"/>
        <v>0.60058714132610902</v>
      </c>
      <c r="N755" s="15">
        <v>3.1E-4</v>
      </c>
      <c r="O755" s="8">
        <f>(I755 - MAX(I722:I755)) / MAX(I722:I755)</f>
        <v>-6.7459042724059906E-3</v>
      </c>
      <c r="P755" s="15">
        <v>1.8700000000000001E-2</v>
      </c>
      <c r="Q755">
        <f t="shared" si="159"/>
        <v>-0.49872163613208359</v>
      </c>
      <c r="R755">
        <f t="shared" si="160"/>
        <v>2.7008846312409823E-2</v>
      </c>
      <c r="S755" s="15">
        <f t="shared" si="161"/>
        <v>3.2156848350664763E-2</v>
      </c>
    </row>
    <row r="756" spans="1:19" x14ac:dyDescent="0.3">
      <c r="A756" s="2">
        <v>43040</v>
      </c>
      <c r="B756">
        <v>2017</v>
      </c>
      <c r="C756">
        <v>11</v>
      </c>
      <c r="D756" t="s">
        <v>55</v>
      </c>
      <c r="E756" t="s">
        <v>27</v>
      </c>
      <c r="F756" t="s">
        <v>23</v>
      </c>
      <c r="G756" t="s">
        <v>35</v>
      </c>
      <c r="H756" t="s">
        <v>12</v>
      </c>
      <c r="I756">
        <v>94.33</v>
      </c>
      <c r="J756" s="8">
        <f t="shared" si="162"/>
        <v>1.6925398878827005E-2</v>
      </c>
      <c r="K756" s="8">
        <f t="shared" si="163"/>
        <v>0.543754725213343</v>
      </c>
      <c r="L756" s="6">
        <f t="shared" si="151"/>
        <v>1.6668398878827005E-2</v>
      </c>
      <c r="M756">
        <f t="shared" si="158"/>
        <v>0.54571856300301991</v>
      </c>
      <c r="N756" s="15">
        <v>2.5700000000000001E-4</v>
      </c>
      <c r="O756" s="8">
        <f>(I756 - MAX(I722:I756)) / MAX(I722:I756)</f>
        <v>0</v>
      </c>
      <c r="P756" s="15">
        <v>-2.52E-2</v>
      </c>
      <c r="Q756">
        <f t="shared" si="159"/>
        <v>-0.41033373117954636</v>
      </c>
      <c r="R756">
        <f t="shared" si="160"/>
        <v>2.2536647261779577E-2</v>
      </c>
      <c r="S756" s="15">
        <f t="shared" si="161"/>
        <v>3.1204311044372317E-2</v>
      </c>
    </row>
    <row r="757" spans="1:19" x14ac:dyDescent="0.3">
      <c r="A757" s="2">
        <v>43070</v>
      </c>
      <c r="B757">
        <v>2017</v>
      </c>
      <c r="C757">
        <v>12</v>
      </c>
      <c r="D757" t="s">
        <v>55</v>
      </c>
      <c r="E757" t="s">
        <v>27</v>
      </c>
      <c r="F757" t="s">
        <v>23</v>
      </c>
      <c r="G757" t="s">
        <v>35</v>
      </c>
      <c r="H757" t="s">
        <v>12</v>
      </c>
      <c r="I757">
        <v>94.09</v>
      </c>
      <c r="J757" s="8">
        <f t="shared" si="162"/>
        <v>-2.5442595144704217E-3</v>
      </c>
      <c r="K757" s="8">
        <f t="shared" si="163"/>
        <v>0.53982701256571031</v>
      </c>
      <c r="L757" s="6">
        <f t="shared" si="151"/>
        <v>-2.7912595144704215E-3</v>
      </c>
      <c r="M757">
        <f t="shared" si="158"/>
        <v>0.62313129553073066</v>
      </c>
      <c r="N757" s="15">
        <v>2.4699999999999999E-4</v>
      </c>
      <c r="O757" s="8">
        <f>(I757 - MAX(I722:I757)) / MAX(I722:I757)</f>
        <v>-2.5442595144704217E-3</v>
      </c>
      <c r="P757" s="15">
        <v>-1.8499999999999999E-2</v>
      </c>
      <c r="Q757">
        <f t="shared" si="159"/>
        <v>-0.23309357325029278</v>
      </c>
      <c r="R757">
        <f t="shared" si="160"/>
        <v>1.9734815676727659E-2</v>
      </c>
      <c r="S757" s="15">
        <f t="shared" si="161"/>
        <v>2.9667948091813102E-2</v>
      </c>
    </row>
    <row r="758" spans="1:19" x14ac:dyDescent="0.3">
      <c r="A758" s="2">
        <v>43101</v>
      </c>
      <c r="B758">
        <v>2018</v>
      </c>
      <c r="C758">
        <v>1</v>
      </c>
      <c r="D758" t="s">
        <v>55</v>
      </c>
      <c r="E758" t="s">
        <v>27</v>
      </c>
      <c r="F758" t="s">
        <v>23</v>
      </c>
      <c r="G758" t="s">
        <v>35</v>
      </c>
      <c r="H758" t="s">
        <v>12</v>
      </c>
      <c r="I758">
        <v>102.36</v>
      </c>
      <c r="J758" s="8">
        <f t="shared" si="162"/>
        <v>8.7894569029652411E-2</v>
      </c>
      <c r="K758" s="8">
        <f t="shared" si="163"/>
        <v>0.6751694442153906</v>
      </c>
      <c r="L758" s="6">
        <f t="shared" si="151"/>
        <v>8.7499569029652405E-2</v>
      </c>
      <c r="M758">
        <f t="shared" si="158"/>
        <v>0.6205088749704899</v>
      </c>
      <c r="N758" s="15">
        <v>3.9500000000000001E-4</v>
      </c>
      <c r="O758" s="8">
        <f>(I758 - MAX(I722:I758)) / MAX(I722:I758)</f>
        <v>0</v>
      </c>
      <c r="P758" s="15">
        <v>3.0099999999999998E-2</v>
      </c>
      <c r="Q758">
        <f t="shared" si="159"/>
        <v>2.2579952400853767E-2</v>
      </c>
      <c r="R758">
        <f t="shared" si="160"/>
        <v>2.1420202534689989E-2</v>
      </c>
      <c r="S758" s="15">
        <f t="shared" si="161"/>
        <v>3.4861082532295994E-2</v>
      </c>
    </row>
    <row r="759" spans="1:19" x14ac:dyDescent="0.3">
      <c r="A759" s="2">
        <v>43132</v>
      </c>
      <c r="B759">
        <v>2018</v>
      </c>
      <c r="C759">
        <v>2</v>
      </c>
      <c r="D759" t="s">
        <v>55</v>
      </c>
      <c r="E759" t="s">
        <v>27</v>
      </c>
      <c r="F759" t="s">
        <v>23</v>
      </c>
      <c r="G759" t="s">
        <v>35</v>
      </c>
      <c r="H759" t="s">
        <v>12</v>
      </c>
      <c r="I759">
        <v>97.18</v>
      </c>
      <c r="J759" s="8">
        <f t="shared" si="162"/>
        <v>-5.0605705353653697E-2</v>
      </c>
      <c r="K759" s="8">
        <f t="shared" si="163"/>
        <v>0.59039631290398265</v>
      </c>
      <c r="L759" s="6">
        <f t="shared" si="151"/>
        <v>-5.1154705353653698E-2</v>
      </c>
      <c r="M759">
        <f t="shared" si="158"/>
        <v>0.35779522694989796</v>
      </c>
      <c r="N759" s="15">
        <v>5.4900000000000001E-4</v>
      </c>
      <c r="O759" s="8">
        <f>(I759 - MAX(I722:I759)) / MAX(I722:I759)</f>
        <v>-5.0605705353653697E-2</v>
      </c>
      <c r="P759" s="15">
        <v>-4.7199999999999999E-2</v>
      </c>
      <c r="Q759">
        <f t="shared" si="159"/>
        <v>0.31449097363740774</v>
      </c>
      <c r="R759">
        <f t="shared" si="160"/>
        <v>1.341819052137095E-2</v>
      </c>
      <c r="S759" s="15">
        <f t="shared" si="161"/>
        <v>4.0235877814649872E-2</v>
      </c>
    </row>
    <row r="760" spans="1:19" x14ac:dyDescent="0.3">
      <c r="A760" s="2">
        <v>43160</v>
      </c>
      <c r="B760">
        <v>2018</v>
      </c>
      <c r="C760">
        <v>3</v>
      </c>
      <c r="D760" t="s">
        <v>55</v>
      </c>
      <c r="E760" t="s">
        <v>27</v>
      </c>
      <c r="F760" t="s">
        <v>23</v>
      </c>
      <c r="G760" t="s">
        <v>35</v>
      </c>
      <c r="H760" t="s">
        <v>12</v>
      </c>
      <c r="I760">
        <v>96.3</v>
      </c>
      <c r="J760" s="8">
        <f t="shared" si="162"/>
        <v>-9.0553611854291994E-3</v>
      </c>
      <c r="K760" s="8">
        <f t="shared" si="163"/>
        <v>0.57599469986266238</v>
      </c>
      <c r="L760" s="6">
        <f t="shared" si="151"/>
        <v>-9.4963611854291998E-3</v>
      </c>
      <c r="M760">
        <f t="shared" si="158"/>
        <v>0.42604925127534438</v>
      </c>
      <c r="N760" s="15">
        <v>4.4099999999999999E-4</v>
      </c>
      <c r="O760" s="8">
        <f>(I760 - MAX(I722:I760)) / MAX(I722:I760)</f>
        <v>-5.9202813599062154E-2</v>
      </c>
      <c r="P760" s="15">
        <v>-2.2499999999999999E-2</v>
      </c>
      <c r="Q760">
        <f t="shared" si="159"/>
        <v>0.76213993263971413</v>
      </c>
      <c r="R760">
        <f t="shared" si="160"/>
        <v>1.8849470472923048E-2</v>
      </c>
      <c r="S760" s="15">
        <f t="shared" si="161"/>
        <v>3.82896091549247E-2</v>
      </c>
    </row>
    <row r="761" spans="1:19" x14ac:dyDescent="0.3">
      <c r="A761" s="2">
        <v>43191</v>
      </c>
      <c r="B761">
        <v>2018</v>
      </c>
      <c r="C761">
        <v>4</v>
      </c>
      <c r="D761" t="s">
        <v>55</v>
      </c>
      <c r="E761" t="s">
        <v>27</v>
      </c>
      <c r="F761" t="s">
        <v>23</v>
      </c>
      <c r="G761" t="s">
        <v>35</v>
      </c>
      <c r="H761" t="s">
        <v>12</v>
      </c>
      <c r="I761">
        <v>94.97</v>
      </c>
      <c r="J761" s="8">
        <f t="shared" si="162"/>
        <v>-1.3811007268951177E-2</v>
      </c>
      <c r="K761" s="8">
        <f t="shared" si="163"/>
        <v>0.55422862560703079</v>
      </c>
      <c r="L761" s="6">
        <f t="shared" si="151"/>
        <v>-1.4211007268951177E-2</v>
      </c>
      <c r="M761">
        <f t="shared" si="158"/>
        <v>0.28087735528800983</v>
      </c>
      <c r="N761" s="15">
        <v>4.0000000000000002E-4</v>
      </c>
      <c r="O761" s="8">
        <f>(I761 - MAX(I722:I761)) / MAX(I722:I761)</f>
        <v>-7.219617037905432E-2</v>
      </c>
      <c r="P761" s="15">
        <v>5.21E-2</v>
      </c>
      <c r="Q761">
        <f t="shared" si="159"/>
        <v>0.39034961511460847</v>
      </c>
      <c r="R761">
        <f t="shared" si="160"/>
        <v>1.0519142464752421E-2</v>
      </c>
      <c r="S761" s="15">
        <f t="shared" si="161"/>
        <v>3.6889904481709618E-2</v>
      </c>
    </row>
    <row r="762" spans="1:19" x14ac:dyDescent="0.3">
      <c r="A762" s="2">
        <v>43221</v>
      </c>
      <c r="B762">
        <v>2018</v>
      </c>
      <c r="C762">
        <v>5</v>
      </c>
      <c r="D762" t="s">
        <v>55</v>
      </c>
      <c r="E762" t="s">
        <v>27</v>
      </c>
      <c r="F762" t="s">
        <v>23</v>
      </c>
      <c r="G762" t="s">
        <v>35</v>
      </c>
      <c r="H762" t="s">
        <v>12</v>
      </c>
      <c r="I762">
        <v>102.22</v>
      </c>
      <c r="J762" s="8">
        <f t="shared" si="162"/>
        <v>7.633989680951879E-2</v>
      </c>
      <c r="K762" s="8">
        <f t="shared" si="163"/>
        <v>0.67287827850427173</v>
      </c>
      <c r="L762" s="6">
        <f t="shared" si="151"/>
        <v>7.5964896809518789E-2</v>
      </c>
      <c r="M762">
        <f t="shared" si="158"/>
        <v>0.3628713923882923</v>
      </c>
      <c r="N762" s="15">
        <v>3.7500000000000001E-4</v>
      </c>
      <c r="O762" s="8">
        <f>(I762 - MAX(I722:I762)) / MAX(I722:I762)</f>
        <v>-1.3677217663149723E-3</v>
      </c>
      <c r="P762" s="15">
        <v>-3.6700000000000003E-2</v>
      </c>
      <c r="Q762">
        <f t="shared" si="159"/>
        <v>0.17475541151455407</v>
      </c>
      <c r="R762">
        <f t="shared" si="160"/>
        <v>1.5638388021880299E-2</v>
      </c>
      <c r="S762" s="15">
        <f t="shared" si="161"/>
        <v>4.1481293899193063E-2</v>
      </c>
    </row>
    <row r="763" spans="1:19" x14ac:dyDescent="0.3">
      <c r="A763" s="2">
        <v>43252</v>
      </c>
      <c r="B763">
        <v>2018</v>
      </c>
      <c r="C763">
        <v>6</v>
      </c>
      <c r="D763" t="s">
        <v>55</v>
      </c>
      <c r="E763" t="s">
        <v>27</v>
      </c>
      <c r="F763" t="s">
        <v>23</v>
      </c>
      <c r="G763" t="s">
        <v>35</v>
      </c>
      <c r="H763" t="s">
        <v>12</v>
      </c>
      <c r="I763">
        <v>106.03</v>
      </c>
      <c r="J763" s="8">
        <f t="shared" si="162"/>
        <v>3.7272549403247916E-2</v>
      </c>
      <c r="K763" s="8">
        <f t="shared" si="163"/>
        <v>0.73523071678544261</v>
      </c>
      <c r="L763" s="6">
        <f t="shared" si="151"/>
        <v>3.6999549403247914E-2</v>
      </c>
      <c r="M763">
        <f t="shared" si="158"/>
        <v>0.44991807936017464</v>
      </c>
      <c r="N763" s="15">
        <v>2.7300000000000002E-4</v>
      </c>
      <c r="O763" s="8">
        <f>(I763 - MAX(I722:I763)) / MAX(I722:I763)</f>
        <v>0</v>
      </c>
      <c r="P763" s="15">
        <v>-3.2000000000000002E-3</v>
      </c>
      <c r="Q763">
        <f t="shared" si="159"/>
        <v>0.12774382746222251</v>
      </c>
      <c r="R763">
        <f t="shared" si="160"/>
        <v>1.8734860504498477E-2</v>
      </c>
      <c r="S763" s="15">
        <f t="shared" si="161"/>
        <v>4.1361314455323706E-2</v>
      </c>
    </row>
    <row r="764" spans="1:19" x14ac:dyDescent="0.3">
      <c r="A764" s="2">
        <v>43282</v>
      </c>
      <c r="B764">
        <v>2018</v>
      </c>
      <c r="C764">
        <v>7</v>
      </c>
      <c r="D764" t="s">
        <v>55</v>
      </c>
      <c r="E764" t="s">
        <v>27</v>
      </c>
      <c r="F764" t="s">
        <v>23</v>
      </c>
      <c r="G764" t="s">
        <v>35</v>
      </c>
      <c r="H764" t="s">
        <v>12</v>
      </c>
      <c r="I764">
        <v>103.13</v>
      </c>
      <c r="J764" s="8">
        <f t="shared" si="162"/>
        <v>-2.7350749787795961E-2</v>
      </c>
      <c r="K764" s="8">
        <f t="shared" si="163"/>
        <v>0.68777085562654605</v>
      </c>
      <c r="L764" s="6">
        <f t="shared" si="151"/>
        <v>-2.7579749787795961E-2</v>
      </c>
      <c r="M764">
        <f t="shared" si="158"/>
        <v>0.26520782430423034</v>
      </c>
      <c r="N764" s="15">
        <v>2.2900000000000001E-4</v>
      </c>
      <c r="O764" s="8">
        <f>(I764 - MAX(I722:I764)) / MAX(I722:I764)</f>
        <v>-2.7350749787795961E-2</v>
      </c>
      <c r="P764" s="15">
        <v>3.8300000000000001E-2</v>
      </c>
      <c r="Q764">
        <f t="shared" si="159"/>
        <v>-1.252201855714599E-2</v>
      </c>
      <c r="R764">
        <f t="shared" si="160"/>
        <v>1.068891091754226E-2</v>
      </c>
      <c r="S764" s="15">
        <f t="shared" si="161"/>
        <v>4.0207714320691791E-2</v>
      </c>
    </row>
    <row r="765" spans="1:19" x14ac:dyDescent="0.3">
      <c r="A765" s="2">
        <v>43313</v>
      </c>
      <c r="B765">
        <v>2018</v>
      </c>
      <c r="C765">
        <v>8</v>
      </c>
      <c r="D765" t="s">
        <v>55</v>
      </c>
      <c r="E765" t="s">
        <v>27</v>
      </c>
      <c r="F765" t="s">
        <v>23</v>
      </c>
      <c r="G765" t="s">
        <v>35</v>
      </c>
      <c r="H765" t="s">
        <v>12</v>
      </c>
      <c r="I765">
        <v>108.17</v>
      </c>
      <c r="J765" s="8">
        <f t="shared" si="162"/>
        <v>4.8870357800833965E-2</v>
      </c>
      <c r="K765" s="8">
        <f t="shared" si="163"/>
        <v>0.77025282122683514</v>
      </c>
      <c r="L765" s="6">
        <f t="shared" si="151"/>
        <v>4.8628357800833966E-2</v>
      </c>
      <c r="M765">
        <f t="shared" ref="M765:M796" si="164">(AVERAGE(J754:J765)-AVERAGE(N754:N765))/STDEV(J754:J765)</f>
        <v>0.31660078807315961</v>
      </c>
      <c r="N765" s="15">
        <v>2.42E-4</v>
      </c>
      <c r="O765" s="8">
        <f>(I765 - MAX(I722:I765)) / MAX(I722:I765)</f>
        <v>0</v>
      </c>
      <c r="P765" s="15">
        <v>-3.7599999999999988E-2</v>
      </c>
      <c r="Q765">
        <f t="shared" ref="Q765:Q796" si="165" xml:space="preserve"> _xlfn.COVARIANCE.P(J754:J765, P754:P765) / _xlfn.VAR.P(P754:P765)</f>
        <v>-0.10512520083362502</v>
      </c>
      <c r="R765">
        <f t="shared" ref="R765:R796" si="166">AVERAGE(J754:J765)-(AVERAGE(N754:N765)+Q765*(AVERAGE(P754:P765)-AVERAGE(N754:N765)))</f>
        <v>1.3142878097158547E-2</v>
      </c>
      <c r="S765" s="15">
        <f t="shared" ref="S765:S796" si="167">STDEV(J754:J765)</f>
        <v>4.1651006832488381E-2</v>
      </c>
    </row>
    <row r="766" spans="1:19" x14ac:dyDescent="0.3">
      <c r="A766" s="2">
        <v>43344</v>
      </c>
      <c r="B766">
        <v>2018</v>
      </c>
      <c r="C766">
        <v>9</v>
      </c>
      <c r="D766" t="s">
        <v>55</v>
      </c>
      <c r="E766" t="s">
        <v>27</v>
      </c>
      <c r="F766" t="s">
        <v>23</v>
      </c>
      <c r="G766" t="s">
        <v>35</v>
      </c>
      <c r="H766" t="s">
        <v>12</v>
      </c>
      <c r="I766">
        <v>109.07</v>
      </c>
      <c r="J766" s="8">
        <f t="shared" si="162"/>
        <v>8.3202366645094891E-3</v>
      </c>
      <c r="K766" s="8">
        <f t="shared" si="163"/>
        <v>0.78498174365545781</v>
      </c>
      <c r="L766" s="6">
        <f t="shared" si="151"/>
        <v>8.0112366645094888E-3</v>
      </c>
      <c r="M766">
        <f t="shared" si="164"/>
        <v>0.32347297033812022</v>
      </c>
      <c r="N766" s="15">
        <v>3.0899999999999998E-4</v>
      </c>
      <c r="O766" s="8">
        <f>(I766 - MAX(I722:I766)) / MAX(I722:I766)</f>
        <v>0</v>
      </c>
      <c r="P766" s="15">
        <v>1.9E-3</v>
      </c>
      <c r="Q766">
        <f t="shared" si="165"/>
        <v>-9.3078068394380931E-2</v>
      </c>
      <c r="R766">
        <f t="shared" si="166"/>
        <v>1.3039409001368234E-2</v>
      </c>
      <c r="S766" s="15">
        <f t="shared" si="167"/>
        <v>4.1601369102310659E-2</v>
      </c>
    </row>
    <row r="767" spans="1:19" x14ac:dyDescent="0.3">
      <c r="A767" s="2">
        <v>43374</v>
      </c>
      <c r="B767">
        <v>2018</v>
      </c>
      <c r="C767">
        <v>10</v>
      </c>
      <c r="D767" t="s">
        <v>55</v>
      </c>
      <c r="E767" t="s">
        <v>27</v>
      </c>
      <c r="F767" t="s">
        <v>23</v>
      </c>
      <c r="G767" t="s">
        <v>35</v>
      </c>
      <c r="H767" t="s">
        <v>12</v>
      </c>
      <c r="I767">
        <v>104.1</v>
      </c>
      <c r="J767" s="8">
        <f t="shared" si="162"/>
        <v>-4.5567067021179054E-2</v>
      </c>
      <c r="K767" s="8">
        <f t="shared" si="163"/>
        <v>0.70364536091072849</v>
      </c>
      <c r="L767" s="6">
        <f t="shared" si="151"/>
        <v>-4.5900067021179054E-2</v>
      </c>
      <c r="M767">
        <f t="shared" si="164"/>
        <v>0.22845365125748379</v>
      </c>
      <c r="N767" s="15">
        <v>3.3300000000000002E-4</v>
      </c>
      <c r="O767" s="8">
        <f>(I767 - MAX(I722:I767)) / MAX(I722:I767)</f>
        <v>-4.5567067021179054E-2</v>
      </c>
      <c r="P767" s="15">
        <v>-5.9299999999999999E-2</v>
      </c>
      <c r="Q767">
        <f t="shared" si="165"/>
        <v>0.17482636939193322</v>
      </c>
      <c r="R767">
        <f t="shared" si="166"/>
        <v>1.214080960495304E-2</v>
      </c>
      <c r="S767" s="15">
        <f t="shared" si="167"/>
        <v>4.4735134741797591E-2</v>
      </c>
    </row>
    <row r="768" spans="1:19" x14ac:dyDescent="0.3">
      <c r="A768" s="2">
        <v>43405</v>
      </c>
      <c r="B768">
        <v>2018</v>
      </c>
      <c r="C768">
        <v>11</v>
      </c>
      <c r="D768" t="s">
        <v>55</v>
      </c>
      <c r="E768" t="s">
        <v>27</v>
      </c>
      <c r="F768" t="s">
        <v>23</v>
      </c>
      <c r="G768" t="s">
        <v>35</v>
      </c>
      <c r="H768" t="s">
        <v>12</v>
      </c>
      <c r="I768">
        <v>107.95</v>
      </c>
      <c r="J768" s="8">
        <f t="shared" si="162"/>
        <v>3.6983669548511129E-2</v>
      </c>
      <c r="K768" s="8">
        <f t="shared" si="163"/>
        <v>0.76665241796650485</v>
      </c>
      <c r="L768" s="6">
        <f t="shared" si="151"/>
        <v>3.6721669548511131E-2</v>
      </c>
      <c r="M768">
        <f t="shared" si="164"/>
        <v>0.2621185648038708</v>
      </c>
      <c r="N768" s="15">
        <v>2.6200000000000003E-4</v>
      </c>
      <c r="O768" s="8">
        <f>(I768 - MAX(I722:I768)) / MAX(I722:I768)</f>
        <v>-1.0268634821674066E-2</v>
      </c>
      <c r="P768" s="15">
        <v>-7.6E-3</v>
      </c>
      <c r="Q768">
        <f t="shared" si="165"/>
        <v>0.18843584592388382</v>
      </c>
      <c r="R768">
        <f t="shared" si="166"/>
        <v>1.3685155558402296E-2</v>
      </c>
      <c r="S768" s="15">
        <f t="shared" si="167"/>
        <v>4.5365007889833817E-2</v>
      </c>
    </row>
    <row r="769" spans="1:19" x14ac:dyDescent="0.3">
      <c r="A769" s="2">
        <v>43435</v>
      </c>
      <c r="B769">
        <v>2018</v>
      </c>
      <c r="C769">
        <v>12</v>
      </c>
      <c r="D769" t="s">
        <v>55</v>
      </c>
      <c r="E769" t="s">
        <v>27</v>
      </c>
      <c r="F769" t="s">
        <v>23</v>
      </c>
      <c r="G769" t="s">
        <v>35</v>
      </c>
      <c r="H769" t="s">
        <v>12</v>
      </c>
      <c r="I769">
        <v>102.55</v>
      </c>
      <c r="J769" s="8">
        <f t="shared" si="162"/>
        <v>-5.0023158869847199E-2</v>
      </c>
      <c r="K769" s="8">
        <f t="shared" si="163"/>
        <v>0.67827888339476661</v>
      </c>
      <c r="L769" s="6">
        <f t="shared" si="151"/>
        <v>-5.0179158869847203E-2</v>
      </c>
      <c r="M769">
        <f t="shared" si="164"/>
        <v>0.16302282541132365</v>
      </c>
      <c r="N769" s="15">
        <v>1.56E-4</v>
      </c>
      <c r="O769" s="8">
        <f>(I769 - MAX(I722:I769)) / MAX(I722:I769)</f>
        <v>-5.9778124140460222E-2</v>
      </c>
      <c r="P769" s="15">
        <v>-5.8799999999999998E-2</v>
      </c>
      <c r="Q769">
        <f t="shared" si="165"/>
        <v>0.33898280853272683</v>
      </c>
      <c r="R769">
        <f t="shared" si="166"/>
        <v>1.2305405858884708E-2</v>
      </c>
      <c r="S769" s="15">
        <f t="shared" si="167"/>
        <v>4.8717221821011285E-2</v>
      </c>
    </row>
    <row r="770" spans="1:19" x14ac:dyDescent="0.3">
      <c r="A770" s="2">
        <v>43466</v>
      </c>
      <c r="B770">
        <v>2019</v>
      </c>
      <c r="C770">
        <v>1</v>
      </c>
      <c r="D770" t="s">
        <v>55</v>
      </c>
      <c r="E770" t="s">
        <v>27</v>
      </c>
      <c r="F770" t="s">
        <v>23</v>
      </c>
      <c r="G770" t="s">
        <v>35</v>
      </c>
      <c r="H770" t="s">
        <v>12</v>
      </c>
      <c r="I770">
        <v>104.53</v>
      </c>
      <c r="J770" s="8">
        <f t="shared" si="162"/>
        <v>1.9307654802535389E-2</v>
      </c>
      <c r="K770" s="8">
        <f t="shared" si="163"/>
        <v>0.71068251273773742</v>
      </c>
      <c r="L770" s="6">
        <f t="shared" ref="L770:L833" si="168">J770-N770</f>
        <v>1.9196654802535389E-2</v>
      </c>
      <c r="M770">
        <f t="shared" si="164"/>
        <v>5.3445960059731831E-2</v>
      </c>
      <c r="N770" s="15">
        <v>1.11E-4</v>
      </c>
      <c r="O770" s="8">
        <f>(I770 - MAX(I722:I770)) / MAX(I722:I770)</f>
        <v>-4.1624644723571948E-2</v>
      </c>
      <c r="P770" s="15">
        <v>5.79E-2</v>
      </c>
      <c r="Q770">
        <f t="shared" si="165"/>
        <v>0.15285448079671149</v>
      </c>
      <c r="R770">
        <f t="shared" si="166"/>
        <v>3.8599220687823986E-3</v>
      </c>
      <c r="S770" s="15">
        <f t="shared" si="167"/>
        <v>4.2100649441235288E-2</v>
      </c>
    </row>
    <row r="771" spans="1:19" x14ac:dyDescent="0.3">
      <c r="A771" s="2">
        <v>43497</v>
      </c>
      <c r="B771">
        <v>2019</v>
      </c>
      <c r="C771">
        <v>2</v>
      </c>
      <c r="D771" t="s">
        <v>55</v>
      </c>
      <c r="E771" t="s">
        <v>27</v>
      </c>
      <c r="F771" t="s">
        <v>23</v>
      </c>
      <c r="G771" t="s">
        <v>35</v>
      </c>
      <c r="H771" t="s">
        <v>12</v>
      </c>
      <c r="I771">
        <v>108.15</v>
      </c>
      <c r="J771" s="8">
        <f t="shared" si="162"/>
        <v>3.463120635224342E-2</v>
      </c>
      <c r="K771" s="8">
        <f t="shared" si="163"/>
        <v>0.76992551183953228</v>
      </c>
      <c r="L771" s="6">
        <f t="shared" si="168"/>
        <v>3.4585206352243422E-2</v>
      </c>
      <c r="M771">
        <f t="shared" si="164"/>
        <v>0.23832721114091354</v>
      </c>
      <c r="N771" s="15">
        <v>4.6E-5</v>
      </c>
      <c r="O771" s="8">
        <f>(I771 - MAX(I722:I771)) / MAX(I722:I771)</f>
        <v>-8.4349500320893694E-3</v>
      </c>
      <c r="P771" s="15">
        <v>4.3899999999999988E-2</v>
      </c>
      <c r="Q771">
        <f t="shared" si="165"/>
        <v>0.10156767856089173</v>
      </c>
      <c r="R771">
        <f t="shared" si="166"/>
        <v>9.6894538671258024E-3</v>
      </c>
      <c r="S771" s="15">
        <f t="shared" si="167"/>
        <v>3.9421022155662157E-2</v>
      </c>
    </row>
    <row r="772" spans="1:19" x14ac:dyDescent="0.3">
      <c r="A772" s="2">
        <v>43525</v>
      </c>
      <c r="B772">
        <v>2019</v>
      </c>
      <c r="C772">
        <v>3</v>
      </c>
      <c r="D772" t="s">
        <v>55</v>
      </c>
      <c r="E772" t="s">
        <v>27</v>
      </c>
      <c r="F772" t="s">
        <v>23</v>
      </c>
      <c r="G772" t="s">
        <v>35</v>
      </c>
      <c r="H772" t="s">
        <v>12</v>
      </c>
      <c r="I772">
        <v>113.1</v>
      </c>
      <c r="J772" s="8">
        <f t="shared" si="162"/>
        <v>4.5769764216366048E-2</v>
      </c>
      <c r="K772" s="8">
        <f t="shared" si="163"/>
        <v>0.85093458519695875</v>
      </c>
      <c r="L772" s="6">
        <f t="shared" si="168"/>
        <v>4.5760764216366046E-2</v>
      </c>
      <c r="M772">
        <f t="shared" si="164"/>
        <v>0.34805044919055134</v>
      </c>
      <c r="N772" s="15">
        <v>9.0000000000000002E-6</v>
      </c>
      <c r="O772" s="8">
        <f>(I772 - MAX(I722:I772)) / MAX(I722:I772)</f>
        <v>0</v>
      </c>
      <c r="P772" s="15">
        <v>1.6199999999999999E-2</v>
      </c>
      <c r="Q772">
        <f t="shared" si="165"/>
        <v>0.10915720588786502</v>
      </c>
      <c r="R772">
        <f t="shared" si="166"/>
        <v>1.3960247751529258E-2</v>
      </c>
      <c r="S772" s="15">
        <f t="shared" si="167"/>
        <v>4.0223659395905727E-2</v>
      </c>
    </row>
    <row r="773" spans="1:19" x14ac:dyDescent="0.3">
      <c r="A773" s="2">
        <v>43556</v>
      </c>
      <c r="B773">
        <v>2019</v>
      </c>
      <c r="C773">
        <v>4</v>
      </c>
      <c r="D773" t="s">
        <v>55</v>
      </c>
      <c r="E773" t="s">
        <v>27</v>
      </c>
      <c r="F773" t="s">
        <v>23</v>
      </c>
      <c r="G773" t="s">
        <v>35</v>
      </c>
      <c r="H773" t="s">
        <v>12</v>
      </c>
      <c r="I773">
        <v>115.93</v>
      </c>
      <c r="J773" s="8">
        <f t="shared" si="162"/>
        <v>2.5022104332449273E-2</v>
      </c>
      <c r="K773" s="8">
        <f t="shared" si="163"/>
        <v>0.89724886350029576</v>
      </c>
      <c r="L773" s="6">
        <f t="shared" si="168"/>
        <v>2.5055104332449271E-2</v>
      </c>
      <c r="M773">
        <f t="shared" si="164"/>
        <v>0.43932929823710565</v>
      </c>
      <c r="N773" s="15">
        <v>-3.3000000000000003E-5</v>
      </c>
      <c r="O773" s="8">
        <f>(I773 - MAX(I722:I773)) / MAX(I722:I773)</f>
        <v>0</v>
      </c>
      <c r="P773" s="15">
        <v>4.8599999999999997E-2</v>
      </c>
      <c r="Q773">
        <f t="shared" si="165"/>
        <v>0.21407521056664383</v>
      </c>
      <c r="R773">
        <f t="shared" si="166"/>
        <v>1.7249061281681948E-2</v>
      </c>
      <c r="S773" s="15">
        <f t="shared" si="167"/>
        <v>3.9314561439274635E-2</v>
      </c>
    </row>
    <row r="774" spans="1:19" x14ac:dyDescent="0.3">
      <c r="A774" s="2">
        <v>43586</v>
      </c>
      <c r="B774">
        <v>2019</v>
      </c>
      <c r="C774">
        <v>5</v>
      </c>
      <c r="D774" t="s">
        <v>55</v>
      </c>
      <c r="E774" t="s">
        <v>27</v>
      </c>
      <c r="F774" t="s">
        <v>23</v>
      </c>
      <c r="G774" t="s">
        <v>35</v>
      </c>
      <c r="H774" t="s">
        <v>12</v>
      </c>
      <c r="I774">
        <v>120.3</v>
      </c>
      <c r="J774" s="8">
        <f t="shared" si="162"/>
        <v>3.7695160872940482E-2</v>
      </c>
      <c r="K774" s="8">
        <f t="shared" si="163"/>
        <v>0.968765964625943</v>
      </c>
      <c r="L774" s="6">
        <f t="shared" si="168"/>
        <v>3.7807160872940483E-2</v>
      </c>
      <c r="M774">
        <f t="shared" si="164"/>
        <v>0.39757025660405709</v>
      </c>
      <c r="N774" s="15">
        <v>-1.12E-4</v>
      </c>
      <c r="O774" s="8">
        <f>(I774 - MAX(I722:I774)) / MAX(I722:I774)</f>
        <v>0</v>
      </c>
      <c r="P774" s="15">
        <v>-6.6600000000000006E-2</v>
      </c>
      <c r="Q774">
        <f t="shared" si="165"/>
        <v>0.21765837600835264</v>
      </c>
      <c r="R774">
        <f t="shared" si="166"/>
        <v>1.4602364178337485E-2</v>
      </c>
      <c r="S774" s="15">
        <f t="shared" si="167"/>
        <v>3.5445879377245394E-2</v>
      </c>
    </row>
    <row r="775" spans="1:19" x14ac:dyDescent="0.3">
      <c r="A775" s="2">
        <v>43617</v>
      </c>
      <c r="B775">
        <v>2019</v>
      </c>
      <c r="C775">
        <v>6</v>
      </c>
      <c r="D775" t="s">
        <v>55</v>
      </c>
      <c r="E775" t="s">
        <v>27</v>
      </c>
      <c r="F775" t="s">
        <v>23</v>
      </c>
      <c r="G775" t="s">
        <v>35</v>
      </c>
      <c r="H775" t="s">
        <v>12</v>
      </c>
      <c r="I775">
        <v>122.68</v>
      </c>
      <c r="J775" s="8">
        <f t="shared" si="162"/>
        <v>1.9783873649210387E-2</v>
      </c>
      <c r="K775" s="8">
        <f t="shared" si="163"/>
        <v>1.0077157817149685</v>
      </c>
      <c r="L775" s="6">
        <f t="shared" si="168"/>
        <v>2.0046873649210387E-2</v>
      </c>
      <c r="M775">
        <f t="shared" si="164"/>
        <v>0.36471002524067492</v>
      </c>
      <c r="N775" s="15">
        <v>-2.63E-4</v>
      </c>
      <c r="O775" s="8">
        <f>(I775 - MAX(I722:I775)) / MAX(I722:I775)</f>
        <v>0</v>
      </c>
      <c r="P775" s="15">
        <v>5.8899999999999987E-2</v>
      </c>
      <c r="Q775">
        <f t="shared" si="165"/>
        <v>0.20633708985669</v>
      </c>
      <c r="R775">
        <f t="shared" si="166"/>
        <v>1.2086096104394428E-2</v>
      </c>
      <c r="S775" s="15">
        <f t="shared" si="167"/>
        <v>3.4765988052282024E-2</v>
      </c>
    </row>
    <row r="776" spans="1:19" x14ac:dyDescent="0.3">
      <c r="A776" s="2">
        <v>43647</v>
      </c>
      <c r="B776">
        <v>2019</v>
      </c>
      <c r="C776">
        <v>7</v>
      </c>
      <c r="D776" t="s">
        <v>55</v>
      </c>
      <c r="E776" t="s">
        <v>27</v>
      </c>
      <c r="F776" t="s">
        <v>23</v>
      </c>
      <c r="G776" t="s">
        <v>35</v>
      </c>
      <c r="H776" t="s">
        <v>12</v>
      </c>
      <c r="I776">
        <v>133.25</v>
      </c>
      <c r="J776" s="8">
        <f t="shared" si="162"/>
        <v>8.6159113139876037E-2</v>
      </c>
      <c r="K776" s="8">
        <f t="shared" si="163"/>
        <v>1.180698792904463</v>
      </c>
      <c r="L776" s="6">
        <f t="shared" si="168"/>
        <v>8.6483113139876042E-2</v>
      </c>
      <c r="M776">
        <f t="shared" si="164"/>
        <v>0.581795205672615</v>
      </c>
      <c r="N776" s="15">
        <v>-3.2400000000000001E-4</v>
      </c>
      <c r="O776" s="8">
        <f>(I776 - MAX(I722:I776)) / MAX(I722:I776)</f>
        <v>0</v>
      </c>
      <c r="P776" s="15">
        <v>-2E-3</v>
      </c>
      <c r="Q776">
        <f t="shared" si="165"/>
        <v>0.27695713527504123</v>
      </c>
      <c r="R776">
        <f t="shared" si="166"/>
        <v>2.2305588587395789E-2</v>
      </c>
      <c r="S776" s="15">
        <f t="shared" si="167"/>
        <v>3.813153278175082E-2</v>
      </c>
    </row>
    <row r="777" spans="1:19" x14ac:dyDescent="0.3">
      <c r="A777" s="2">
        <v>43678</v>
      </c>
      <c r="B777">
        <v>2019</v>
      </c>
      <c r="C777">
        <v>8</v>
      </c>
      <c r="D777" t="s">
        <v>55</v>
      </c>
      <c r="E777" t="s">
        <v>27</v>
      </c>
      <c r="F777" t="s">
        <v>23</v>
      </c>
      <c r="G777" t="s">
        <v>35</v>
      </c>
      <c r="H777" t="s">
        <v>12</v>
      </c>
      <c r="I777">
        <v>136.22</v>
      </c>
      <c r="J777" s="8">
        <f t="shared" si="162"/>
        <v>2.2288930581613499E-2</v>
      </c>
      <c r="K777" s="8">
        <f t="shared" si="163"/>
        <v>1.2293042369189187</v>
      </c>
      <c r="L777" s="6">
        <f t="shared" si="168"/>
        <v>2.2829930581613499E-2</v>
      </c>
      <c r="M777">
        <f t="shared" si="164"/>
        <v>0.53849794922757754</v>
      </c>
      <c r="N777" s="15">
        <v>-5.4100000000000003E-4</v>
      </c>
      <c r="O777" s="8">
        <f>(I777 - MAX(I722:I777)) / MAX(I722:I777)</f>
        <v>0</v>
      </c>
      <c r="P777" s="15">
        <v>-1.1599999999999999E-2</v>
      </c>
      <c r="Q777">
        <f t="shared" si="165"/>
        <v>0.33852782047176933</v>
      </c>
      <c r="R777">
        <f t="shared" si="166"/>
        <v>1.9427019110126974E-2</v>
      </c>
      <c r="S777" s="15">
        <f t="shared" si="167"/>
        <v>3.7205107375383323E-2</v>
      </c>
    </row>
    <row r="778" spans="1:19" x14ac:dyDescent="0.3">
      <c r="A778" s="2">
        <v>43709</v>
      </c>
      <c r="B778">
        <v>2019</v>
      </c>
      <c r="C778">
        <v>9</v>
      </c>
      <c r="D778" t="s">
        <v>55</v>
      </c>
      <c r="E778" t="s">
        <v>27</v>
      </c>
      <c r="F778" t="s">
        <v>23</v>
      </c>
      <c r="G778" t="s">
        <v>35</v>
      </c>
      <c r="H778" t="s">
        <v>12</v>
      </c>
      <c r="I778">
        <v>132.76</v>
      </c>
      <c r="J778" s="8">
        <f t="shared" si="162"/>
        <v>-2.540008809279113E-2</v>
      </c>
      <c r="K778" s="8">
        <f t="shared" si="163"/>
        <v>1.1726797129155457</v>
      </c>
      <c r="L778" s="6">
        <f t="shared" si="168"/>
        <v>-2.490408809279113E-2</v>
      </c>
      <c r="M778">
        <f t="shared" si="164"/>
        <v>0.43910597558967684</v>
      </c>
      <c r="N778" s="15">
        <v>-4.9600000000000002E-4</v>
      </c>
      <c r="O778" s="8">
        <f>(I778 - MAX(I722:I778)) / MAX(I722:I778)</f>
        <v>-2.540008809279113E-2</v>
      </c>
      <c r="P778" s="15">
        <v>4.1599999999999998E-2</v>
      </c>
      <c r="Q778">
        <f t="shared" si="165"/>
        <v>0.24885843022844742</v>
      </c>
      <c r="R778">
        <f t="shared" si="166"/>
        <v>1.6005083349949389E-2</v>
      </c>
      <c r="S778" s="15">
        <f t="shared" si="167"/>
        <v>3.9379856467312478E-2</v>
      </c>
    </row>
    <row r="779" spans="1:19" x14ac:dyDescent="0.3">
      <c r="A779" s="2">
        <v>43739</v>
      </c>
      <c r="B779">
        <v>2019</v>
      </c>
      <c r="C779">
        <v>10</v>
      </c>
      <c r="D779" t="s">
        <v>55</v>
      </c>
      <c r="E779" t="s">
        <v>27</v>
      </c>
      <c r="F779" t="s">
        <v>23</v>
      </c>
      <c r="G779" t="s">
        <v>35</v>
      </c>
      <c r="H779" t="s">
        <v>12</v>
      </c>
      <c r="I779">
        <v>131.76</v>
      </c>
      <c r="J779" s="8">
        <f t="shared" si="162"/>
        <v>-7.5323892738776745E-3</v>
      </c>
      <c r="K779" s="8">
        <f t="shared" si="163"/>
        <v>1.1563142435504092</v>
      </c>
      <c r="L779" s="6">
        <f t="shared" si="168"/>
        <v>-7.1413892738776746E-3</v>
      </c>
      <c r="M779">
        <f t="shared" si="164"/>
        <v>0.5834579475210091</v>
      </c>
      <c r="N779" s="15">
        <v>-3.9100000000000002E-4</v>
      </c>
      <c r="O779" s="8">
        <f>(I779 - MAX(I722:I779)) / MAX(I722:I779)</f>
        <v>-3.2741154015563122E-2</v>
      </c>
      <c r="P779" s="15">
        <v>9.7999999999999997E-3</v>
      </c>
      <c r="Q779">
        <f t="shared" si="165"/>
        <v>8.5165958648762349E-2</v>
      </c>
      <c r="R779">
        <f t="shared" si="166"/>
        <v>1.9585874608038789E-2</v>
      </c>
      <c r="S779" s="15">
        <f t="shared" si="167"/>
        <v>3.5172749282324001E-2</v>
      </c>
    </row>
    <row r="780" spans="1:19" x14ac:dyDescent="0.3">
      <c r="A780" s="2">
        <v>43770</v>
      </c>
      <c r="B780">
        <v>2019</v>
      </c>
      <c r="C780">
        <v>11</v>
      </c>
      <c r="D780" t="s">
        <v>55</v>
      </c>
      <c r="E780" t="s">
        <v>27</v>
      </c>
      <c r="F780" t="s">
        <v>23</v>
      </c>
      <c r="G780" t="s">
        <v>35</v>
      </c>
      <c r="H780" t="s">
        <v>12</v>
      </c>
      <c r="I780">
        <v>138.15</v>
      </c>
      <c r="J780" s="8">
        <f t="shared" si="162"/>
        <v>4.8497267759562958E-2</v>
      </c>
      <c r="K780" s="8">
        <f t="shared" si="163"/>
        <v>1.260889592793633</v>
      </c>
      <c r="L780" s="6">
        <f t="shared" si="168"/>
        <v>4.879126775956296E-2</v>
      </c>
      <c r="M780">
        <f t="shared" si="164"/>
        <v>0.60103360901542702</v>
      </c>
      <c r="N780" s="15">
        <v>-2.9399999999999999E-4</v>
      </c>
      <c r="O780" s="8">
        <f>(I780 - MAX(I722:I780)) / MAX(I722:I780)</f>
        <v>0</v>
      </c>
      <c r="P780" s="15">
        <v>2.75E-2</v>
      </c>
      <c r="Q780">
        <f t="shared" si="165"/>
        <v>0.12345132548147719</v>
      </c>
      <c r="R780">
        <f t="shared" si="166"/>
        <v>1.980411600080989E-2</v>
      </c>
      <c r="S780" s="15">
        <f t="shared" si="167"/>
        <v>3.5817664158784554E-2</v>
      </c>
    </row>
    <row r="781" spans="1:19" x14ac:dyDescent="0.3">
      <c r="A781" s="2">
        <v>43800</v>
      </c>
      <c r="B781">
        <v>2019</v>
      </c>
      <c r="C781">
        <v>12</v>
      </c>
      <c r="D781" t="s">
        <v>55</v>
      </c>
      <c r="E781" t="s">
        <v>27</v>
      </c>
      <c r="F781" t="s">
        <v>23</v>
      </c>
      <c r="G781" t="s">
        <v>35</v>
      </c>
      <c r="H781" t="s">
        <v>12</v>
      </c>
      <c r="I781">
        <v>139.09</v>
      </c>
      <c r="J781" s="8">
        <f t="shared" si="162"/>
        <v>6.8041983351429438E-3</v>
      </c>
      <c r="K781" s="8">
        <f t="shared" si="163"/>
        <v>1.2762731339968614</v>
      </c>
      <c r="L781" s="6">
        <f t="shared" si="168"/>
        <v>7.054198335142944E-3</v>
      </c>
      <c r="M781">
        <f t="shared" si="164"/>
        <v>0.9213875531643182</v>
      </c>
      <c r="N781" s="15">
        <v>-2.5000000000000001E-4</v>
      </c>
      <c r="O781" s="8">
        <f>(I781 - MAX(I722:I781)) / MAX(I722:I781)</f>
        <v>0</v>
      </c>
      <c r="P781" s="15">
        <v>1.21E-2</v>
      </c>
      <c r="Q781">
        <f t="shared" si="165"/>
        <v>-0.21812038606458634</v>
      </c>
      <c r="R781">
        <f t="shared" si="166"/>
        <v>3.0638352786847112E-2</v>
      </c>
      <c r="S781" s="15">
        <f t="shared" si="167"/>
        <v>2.8540722412945613E-2</v>
      </c>
    </row>
    <row r="782" spans="1:19" x14ac:dyDescent="0.3">
      <c r="A782" s="2">
        <v>43831</v>
      </c>
      <c r="B782">
        <v>2020</v>
      </c>
      <c r="C782">
        <v>1</v>
      </c>
      <c r="D782" t="s">
        <v>55</v>
      </c>
      <c r="E782" t="s">
        <v>27</v>
      </c>
      <c r="F782" t="s">
        <v>23</v>
      </c>
      <c r="G782" t="s">
        <v>35</v>
      </c>
      <c r="H782" t="s">
        <v>12</v>
      </c>
      <c r="I782">
        <v>143.66</v>
      </c>
      <c r="J782" s="8">
        <f t="shared" si="162"/>
        <v>3.2856423898195361E-2</v>
      </c>
      <c r="K782" s="8">
        <f t="shared" si="163"/>
        <v>1.3510633289955361</v>
      </c>
      <c r="L782" s="6">
        <f t="shared" si="168"/>
        <v>3.3117423898195358E-2</v>
      </c>
      <c r="M782">
        <f t="shared" si="164"/>
        <v>0.96286088948091031</v>
      </c>
      <c r="N782" s="15">
        <v>-2.61E-4</v>
      </c>
      <c r="O782" s="8">
        <f>(I782 - MAX(I722:I782)) / MAX(I722:I782)</f>
        <v>0</v>
      </c>
      <c r="P782" s="15">
        <v>-2.87E-2</v>
      </c>
      <c r="Q782">
        <f t="shared" si="165"/>
        <v>-0.21215873823209164</v>
      </c>
      <c r="R782">
        <f t="shared" si="166"/>
        <v>3.015525923437759E-2</v>
      </c>
      <c r="S782" s="15">
        <f t="shared" si="167"/>
        <v>2.8516196660260479E-2</v>
      </c>
    </row>
    <row r="783" spans="1:19" x14ac:dyDescent="0.3">
      <c r="A783" s="2">
        <v>43862</v>
      </c>
      <c r="B783">
        <v>2020</v>
      </c>
      <c r="C783">
        <v>2</v>
      </c>
      <c r="D783" t="s">
        <v>55</v>
      </c>
      <c r="E783" t="s">
        <v>27</v>
      </c>
      <c r="F783" t="s">
        <v>23</v>
      </c>
      <c r="G783" t="s">
        <v>35</v>
      </c>
      <c r="H783" t="s">
        <v>12</v>
      </c>
      <c r="I783">
        <v>139.72</v>
      </c>
      <c r="J783" s="8">
        <f t="shared" si="162"/>
        <v>-2.742586662954196E-2</v>
      </c>
      <c r="K783" s="8">
        <f t="shared" si="163"/>
        <v>1.2865833796968977</v>
      </c>
      <c r="L783" s="6">
        <f t="shared" si="168"/>
        <v>-2.7037866629541961E-2</v>
      </c>
      <c r="M783">
        <f t="shared" si="164"/>
        <v>0.68873196119754598</v>
      </c>
      <c r="N783" s="15">
        <v>-3.88E-4</v>
      </c>
      <c r="O783" s="8">
        <f>(I783 - MAX(I722:I783)) / MAX(I722:I783)</f>
        <v>-2.742586662954196E-2</v>
      </c>
      <c r="P783" s="15">
        <v>-8.5500000000000007E-2</v>
      </c>
      <c r="Q783">
        <f t="shared" si="165"/>
        <v>6.6124293500427395E-2</v>
      </c>
      <c r="R783">
        <f t="shared" si="166"/>
        <v>2.2191587499468517E-2</v>
      </c>
      <c r="S783" s="15">
        <f t="shared" si="167"/>
        <v>3.2410103867232962E-2</v>
      </c>
    </row>
    <row r="784" spans="1:19" x14ac:dyDescent="0.3">
      <c r="A784" s="2">
        <v>43891</v>
      </c>
      <c r="B784">
        <v>2020</v>
      </c>
      <c r="C784">
        <v>3</v>
      </c>
      <c r="D784" t="s">
        <v>55</v>
      </c>
      <c r="E784" t="s">
        <v>27</v>
      </c>
      <c r="F784" t="s">
        <v>23</v>
      </c>
      <c r="G784" t="s">
        <v>35</v>
      </c>
      <c r="H784" t="s">
        <v>12</v>
      </c>
      <c r="I784">
        <v>121.64</v>
      </c>
      <c r="J784" s="8">
        <f t="shared" si="162"/>
        <v>-0.12940166046378471</v>
      </c>
      <c r="K784" s="8">
        <f t="shared" si="163"/>
        <v>0.99069569357522669</v>
      </c>
      <c r="L784" s="6">
        <f t="shared" si="168"/>
        <v>-0.1289506604637847</v>
      </c>
      <c r="M784">
        <f t="shared" si="164"/>
        <v>0.14536007868686726</v>
      </c>
      <c r="N784" s="15">
        <v>-4.5100000000000001E-4</v>
      </c>
      <c r="O784" s="8">
        <f>(I784 - MAX(I722:I784)) / MAX(I722:I784)</f>
        <v>-0.15327857441180562</v>
      </c>
      <c r="P784" s="15">
        <v>-0.16300000000000001</v>
      </c>
      <c r="Q784">
        <f t="shared" si="165"/>
        <v>0.51172740274791884</v>
      </c>
      <c r="R784">
        <f t="shared" si="166"/>
        <v>1.4376495113798893E-2</v>
      </c>
      <c r="S784" s="15">
        <f t="shared" si="167"/>
        <v>5.3402482161591436E-2</v>
      </c>
    </row>
    <row r="785" spans="1:19" x14ac:dyDescent="0.3">
      <c r="A785" s="2">
        <v>43922</v>
      </c>
      <c r="B785">
        <v>2020</v>
      </c>
      <c r="C785">
        <v>4</v>
      </c>
      <c r="D785" t="s">
        <v>55</v>
      </c>
      <c r="E785" t="s">
        <v>27</v>
      </c>
      <c r="F785" t="s">
        <v>23</v>
      </c>
      <c r="G785" t="s">
        <v>35</v>
      </c>
      <c r="H785" t="s">
        <v>12</v>
      </c>
      <c r="I785">
        <v>131.88999999999999</v>
      </c>
      <c r="J785" s="8">
        <f t="shared" si="162"/>
        <v>8.4265044393291563E-2</v>
      </c>
      <c r="K785" s="8">
        <f t="shared" si="163"/>
        <v>1.1584417545678773</v>
      </c>
      <c r="L785" s="6">
        <f t="shared" si="168"/>
        <v>8.4640044393291564E-2</v>
      </c>
      <c r="M785">
        <f t="shared" si="164"/>
        <v>0.22044573782704377</v>
      </c>
      <c r="N785" s="15">
        <v>-3.7500000000000001E-4</v>
      </c>
      <c r="O785" s="8">
        <f>(I785 - MAX(I722:I785)) / MAX(I722:I785)</f>
        <v>-8.1929555895865314E-2</v>
      </c>
      <c r="P785" s="15">
        <v>5.0599999999999999E-2</v>
      </c>
      <c r="Q785">
        <f t="shared" si="165"/>
        <v>0.59173246540475755</v>
      </c>
      <c r="R785">
        <f t="shared" si="166"/>
        <v>2.0260459099189675E-2</v>
      </c>
      <c r="S785" s="15">
        <f t="shared" si="167"/>
        <v>5.7737567558715445E-2</v>
      </c>
    </row>
    <row r="786" spans="1:19" x14ac:dyDescent="0.3">
      <c r="A786" s="2">
        <v>43952</v>
      </c>
      <c r="B786">
        <v>2020</v>
      </c>
      <c r="C786">
        <v>5</v>
      </c>
      <c r="D786" t="s">
        <v>55</v>
      </c>
      <c r="E786" t="s">
        <v>27</v>
      </c>
      <c r="F786" t="s">
        <v>23</v>
      </c>
      <c r="G786" t="s">
        <v>35</v>
      </c>
      <c r="H786" t="s">
        <v>12</v>
      </c>
      <c r="I786">
        <v>138.83000000000001</v>
      </c>
      <c r="J786" s="8">
        <f t="shared" si="162"/>
        <v>5.2619607248464831E-2</v>
      </c>
      <c r="K786" s="8">
        <f t="shared" si="163"/>
        <v>1.2720181119619265</v>
      </c>
      <c r="L786" s="6">
        <f t="shared" si="168"/>
        <v>5.3049607248464831E-2</v>
      </c>
      <c r="M786">
        <f t="shared" si="164"/>
        <v>0.2393336289193192</v>
      </c>
      <c r="N786" s="15">
        <v>-4.2999999999999999E-4</v>
      </c>
      <c r="O786" s="8">
        <f>(I786 - MAX(I722:I786)) / MAX(I722:I786)</f>
        <v>-3.3621049700682054E-2</v>
      </c>
      <c r="P786" s="15">
        <v>4.1799999999999997E-2</v>
      </c>
      <c r="Q786">
        <f t="shared" si="165"/>
        <v>0.67857094877965451</v>
      </c>
      <c r="R786">
        <f t="shared" si="166"/>
        <v>1.6488333737151917E-2</v>
      </c>
      <c r="S786" s="15">
        <f t="shared" si="167"/>
        <v>5.8488247592509111E-2</v>
      </c>
    </row>
    <row r="787" spans="1:19" x14ac:dyDescent="0.3">
      <c r="A787" s="2">
        <v>43983</v>
      </c>
      <c r="B787">
        <v>2020</v>
      </c>
      <c r="C787">
        <v>6</v>
      </c>
      <c r="D787" t="s">
        <v>55</v>
      </c>
      <c r="E787" t="s">
        <v>27</v>
      </c>
      <c r="F787" t="s">
        <v>23</v>
      </c>
      <c r="G787" t="s">
        <v>35</v>
      </c>
      <c r="H787" t="s">
        <v>12</v>
      </c>
      <c r="I787">
        <v>134.09</v>
      </c>
      <c r="J787" s="8">
        <f t="shared" ref="J787:J818" si="169">(I787-I786)/I786</f>
        <v>-3.4142476409997902E-2</v>
      </c>
      <c r="K787" s="8">
        <f t="shared" ref="K787:K818" si="170">(K786+1)*(J787+1)-1</f>
        <v>1.1944457871711784</v>
      </c>
      <c r="L787" s="6">
        <f t="shared" si="168"/>
        <v>-3.37804764099979E-2</v>
      </c>
      <c r="M787">
        <f t="shared" si="164"/>
        <v>0.1584807440355106</v>
      </c>
      <c r="N787" s="15">
        <v>-3.6200000000000002E-4</v>
      </c>
      <c r="O787" s="8">
        <f>(I787 - MAX(I722:I787)) / MAX(I722:I787)</f>
        <v>-6.6615620214395058E-2</v>
      </c>
      <c r="P787" s="15">
        <v>6.0299999999999999E-2</v>
      </c>
      <c r="Q787">
        <f t="shared" si="165"/>
        <v>0.59969073090600011</v>
      </c>
      <c r="R787">
        <f t="shared" si="166"/>
        <v>1.1638345758891864E-2</v>
      </c>
      <c r="S787" s="15">
        <f t="shared" si="167"/>
        <v>6.002364576469519E-2</v>
      </c>
    </row>
    <row r="788" spans="1:19" x14ac:dyDescent="0.3">
      <c r="A788" s="2">
        <v>44013</v>
      </c>
      <c r="B788">
        <v>2020</v>
      </c>
      <c r="C788">
        <v>7</v>
      </c>
      <c r="D788" t="s">
        <v>55</v>
      </c>
      <c r="E788" t="s">
        <v>27</v>
      </c>
      <c r="F788" t="s">
        <v>23</v>
      </c>
      <c r="G788" t="s">
        <v>35</v>
      </c>
      <c r="H788" t="s">
        <v>12</v>
      </c>
      <c r="I788">
        <v>146.31</v>
      </c>
      <c r="J788" s="8">
        <f t="shared" si="169"/>
        <v>9.1132821239466019E-2</v>
      </c>
      <c r="K788" s="8">
        <f t="shared" si="170"/>
        <v>1.3944318228131487</v>
      </c>
      <c r="L788" s="6">
        <f t="shared" si="168"/>
        <v>9.1568821239466025E-2</v>
      </c>
      <c r="M788">
        <f t="shared" si="164"/>
        <v>0.16391801913871029</v>
      </c>
      <c r="N788" s="15">
        <v>-4.3600000000000003E-4</v>
      </c>
      <c r="O788" s="8">
        <f>(I788 - MAX(I722:I788)) / MAX(I722:I788)</f>
        <v>0</v>
      </c>
      <c r="P788" s="15">
        <v>-1.8499999999999999E-2</v>
      </c>
      <c r="Q788">
        <f t="shared" si="165"/>
        <v>0.56787396922275812</v>
      </c>
      <c r="R788">
        <f t="shared" si="166"/>
        <v>1.2724898851849568E-2</v>
      </c>
      <c r="S788" s="15">
        <f t="shared" si="167"/>
        <v>6.0618113255771024E-2</v>
      </c>
    </row>
    <row r="789" spans="1:19" x14ac:dyDescent="0.3">
      <c r="A789" s="2">
        <v>44044</v>
      </c>
      <c r="B789">
        <v>2020</v>
      </c>
      <c r="C789">
        <v>8</v>
      </c>
      <c r="D789" t="s">
        <v>55</v>
      </c>
      <c r="E789" t="s">
        <v>27</v>
      </c>
      <c r="F789" t="s">
        <v>23</v>
      </c>
      <c r="G789" t="s">
        <v>35</v>
      </c>
      <c r="H789" t="s">
        <v>12</v>
      </c>
      <c r="I789">
        <v>150.85</v>
      </c>
      <c r="J789" s="8">
        <f t="shared" si="169"/>
        <v>3.1030004784361916E-2</v>
      </c>
      <c r="K789" s="8">
        <f t="shared" si="170"/>
        <v>1.4687310537308691</v>
      </c>
      <c r="L789" s="6">
        <f t="shared" si="168"/>
        <v>3.1466004784361915E-2</v>
      </c>
      <c r="M789">
        <f t="shared" si="164"/>
        <v>0.17515699624014081</v>
      </c>
      <c r="N789" s="15">
        <v>-4.3600000000000003E-4</v>
      </c>
      <c r="O789" s="8">
        <f>(I789 - MAX(I722:I789)) / MAX(I722:I789)</f>
        <v>0</v>
      </c>
      <c r="P789" s="15">
        <v>3.09E-2</v>
      </c>
      <c r="Q789">
        <f t="shared" si="165"/>
        <v>0.57196652316809948</v>
      </c>
      <c r="R789">
        <f t="shared" si="166"/>
        <v>1.1443957784705076E-2</v>
      </c>
      <c r="S789" s="15">
        <f t="shared" si="167"/>
        <v>6.0837272434333754E-2</v>
      </c>
    </row>
    <row r="790" spans="1:19" x14ac:dyDescent="0.3">
      <c r="A790" s="2">
        <v>44075</v>
      </c>
      <c r="B790">
        <v>2020</v>
      </c>
      <c r="C790">
        <v>9</v>
      </c>
      <c r="D790" t="s">
        <v>55</v>
      </c>
      <c r="E790" t="s">
        <v>27</v>
      </c>
      <c r="F790" t="s">
        <v>23</v>
      </c>
      <c r="G790" t="s">
        <v>35</v>
      </c>
      <c r="H790" t="s">
        <v>12</v>
      </c>
      <c r="I790">
        <v>147.21</v>
      </c>
      <c r="J790" s="8">
        <f t="shared" si="169"/>
        <v>-2.4129930394431464E-2</v>
      </c>
      <c r="K790" s="8">
        <f t="shared" si="170"/>
        <v>1.4091607452417718</v>
      </c>
      <c r="L790" s="6">
        <f t="shared" si="168"/>
        <v>-2.3692930394431464E-2</v>
      </c>
      <c r="M790">
        <f t="shared" si="164"/>
        <v>0.17700991155716211</v>
      </c>
      <c r="N790" s="15">
        <v>-4.37E-4</v>
      </c>
      <c r="O790" s="8">
        <f>(I790 - MAX(I722:I790)) / MAX(I722:I790)</f>
        <v>-2.4129930394431464E-2</v>
      </c>
      <c r="P790" s="15">
        <v>-2.41E-2</v>
      </c>
      <c r="Q790">
        <f t="shared" si="165"/>
        <v>0.64587072875261498</v>
      </c>
      <c r="R790">
        <f t="shared" si="166"/>
        <v>1.5186008407097985E-2</v>
      </c>
      <c r="S790" s="15">
        <f t="shared" si="167"/>
        <v>6.0770629241085623E-2</v>
      </c>
    </row>
    <row r="791" spans="1:19" x14ac:dyDescent="0.3">
      <c r="A791" s="2">
        <v>44105</v>
      </c>
      <c r="B791">
        <v>2020</v>
      </c>
      <c r="C791">
        <v>10</v>
      </c>
      <c r="D791" t="s">
        <v>55</v>
      </c>
      <c r="E791" t="s">
        <v>27</v>
      </c>
      <c r="F791" t="s">
        <v>23</v>
      </c>
      <c r="G791" t="s">
        <v>35</v>
      </c>
      <c r="H791" t="s">
        <v>12</v>
      </c>
      <c r="I791">
        <v>124.59</v>
      </c>
      <c r="J791" s="8">
        <f t="shared" si="169"/>
        <v>-0.15365803953535767</v>
      </c>
      <c r="K791" s="8">
        <f t="shared" si="170"/>
        <v>1.0389738282023799</v>
      </c>
      <c r="L791" s="6">
        <f t="shared" si="168"/>
        <v>-0.15315203953535766</v>
      </c>
      <c r="M791">
        <f t="shared" si="164"/>
        <v>-1.8288952763783353E-2</v>
      </c>
      <c r="N791" s="15">
        <v>-5.0600000000000005E-4</v>
      </c>
      <c r="O791" s="8">
        <f>(I791 - MAX(I722:I791)) / MAX(I722:I791)</f>
        <v>-0.17408021213125616</v>
      </c>
      <c r="P791" s="15">
        <v>-7.3700000000000002E-2</v>
      </c>
      <c r="Q791">
        <f t="shared" si="165"/>
        <v>0.80896849903437951</v>
      </c>
      <c r="R791">
        <f t="shared" si="166"/>
        <v>9.7582034445328116E-3</v>
      </c>
      <c r="S791" s="15">
        <f t="shared" si="167"/>
        <v>7.7125820129638353E-2</v>
      </c>
    </row>
    <row r="792" spans="1:19" x14ac:dyDescent="0.3">
      <c r="A792" s="2">
        <v>44136</v>
      </c>
      <c r="B792">
        <v>2020</v>
      </c>
      <c r="C792">
        <v>11</v>
      </c>
      <c r="D792" t="s">
        <v>55</v>
      </c>
      <c r="E792" t="s">
        <v>27</v>
      </c>
      <c r="F792" t="s">
        <v>23</v>
      </c>
      <c r="G792" t="s">
        <v>35</v>
      </c>
      <c r="H792" t="s">
        <v>12</v>
      </c>
      <c r="I792">
        <v>148.41</v>
      </c>
      <c r="J792" s="8">
        <f t="shared" si="169"/>
        <v>0.19118709366722844</v>
      </c>
      <c r="K792" s="8">
        <f t="shared" si="170"/>
        <v>1.4287993084799355</v>
      </c>
      <c r="L792" s="6">
        <f t="shared" si="168"/>
        <v>0.19169909366722845</v>
      </c>
      <c r="M792">
        <f t="shared" si="164"/>
        <v>0.11097264425459019</v>
      </c>
      <c r="N792" s="15">
        <v>-5.1199999999999998E-4</v>
      </c>
      <c r="O792" s="8">
        <f>(I792 - MAX(I722:I792)) / MAX(I722:I792)</f>
        <v>-1.617500828637718E-2</v>
      </c>
      <c r="P792" s="15">
        <v>0.18060000000000001</v>
      </c>
      <c r="Q792">
        <f t="shared" si="165"/>
        <v>0.88110383952861882</v>
      </c>
      <c r="R792">
        <f t="shared" si="166"/>
        <v>1.1405678264521078E-2</v>
      </c>
      <c r="S792" s="15">
        <f t="shared" si="167"/>
        <v>9.4603810530109064E-2</v>
      </c>
    </row>
    <row r="793" spans="1:19" x14ac:dyDescent="0.3">
      <c r="A793" s="2">
        <v>44166</v>
      </c>
      <c r="B793">
        <v>2020</v>
      </c>
      <c r="C793">
        <v>12</v>
      </c>
      <c r="D793" t="s">
        <v>55</v>
      </c>
      <c r="E793" t="s">
        <v>27</v>
      </c>
      <c r="F793" t="s">
        <v>23</v>
      </c>
      <c r="G793" t="s">
        <v>35</v>
      </c>
      <c r="H793" t="s">
        <v>12</v>
      </c>
      <c r="I793">
        <v>141.46</v>
      </c>
      <c r="J793" s="8">
        <f t="shared" si="169"/>
        <v>-4.6829728454955789E-2</v>
      </c>
      <c r="K793" s="8">
        <f t="shared" si="170"/>
        <v>1.3150592963922358</v>
      </c>
      <c r="L793" s="6">
        <f t="shared" si="168"/>
        <v>-4.6314728454955788E-2</v>
      </c>
      <c r="M793">
        <f t="shared" si="164"/>
        <v>6.3012069773054749E-2</v>
      </c>
      <c r="N793" s="15">
        <v>-5.1500000000000005E-4</v>
      </c>
      <c r="O793" s="8">
        <f>(I793 - MAX(I722:I793)) / MAX(I722:I793)</f>
        <v>-6.224726549552527E-2</v>
      </c>
      <c r="P793" s="15">
        <v>2.2599999999999999E-2</v>
      </c>
      <c r="Q793">
        <f t="shared" si="165"/>
        <v>0.86165164900976265</v>
      </c>
      <c r="R793">
        <f t="shared" si="166"/>
        <v>6.1652650930427615E-3</v>
      </c>
      <c r="S793" s="15">
        <f t="shared" si="167"/>
        <v>9.6029609359577467E-2</v>
      </c>
    </row>
    <row r="794" spans="1:19" x14ac:dyDescent="0.3">
      <c r="A794" s="2">
        <v>44197</v>
      </c>
      <c r="B794">
        <v>2021</v>
      </c>
      <c r="C794">
        <v>1</v>
      </c>
      <c r="D794" t="s">
        <v>55</v>
      </c>
      <c r="E794" t="s">
        <v>27</v>
      </c>
      <c r="F794" t="s">
        <v>23</v>
      </c>
      <c r="G794" t="s">
        <v>35</v>
      </c>
      <c r="H794" t="s">
        <v>12</v>
      </c>
      <c r="I794">
        <v>123.46</v>
      </c>
      <c r="J794" s="8">
        <f t="shared" si="169"/>
        <v>-0.12724445072812113</v>
      </c>
      <c r="K794" s="8">
        <f t="shared" si="170"/>
        <v>1.0204808478197749</v>
      </c>
      <c r="L794" s="6">
        <f t="shared" si="168"/>
        <v>-0.12675845072812114</v>
      </c>
      <c r="M794">
        <f t="shared" si="164"/>
        <v>-7.0748361118433967E-2</v>
      </c>
      <c r="N794" s="15">
        <v>-4.86E-4</v>
      </c>
      <c r="O794" s="8">
        <f>(I794 - MAX(I722:I794)) / MAX(I722:I794)</f>
        <v>-0.18157109711634076</v>
      </c>
      <c r="P794" s="15">
        <v>-2.52E-2</v>
      </c>
      <c r="Q794">
        <f t="shared" si="165"/>
        <v>0.91288852945162291</v>
      </c>
      <c r="R794">
        <f t="shared" si="166"/>
        <v>-7.4343071171023021E-3</v>
      </c>
      <c r="S794" s="15">
        <f t="shared" si="167"/>
        <v>0.1027863400930908</v>
      </c>
    </row>
    <row r="795" spans="1:19" x14ac:dyDescent="0.3">
      <c r="A795" s="2">
        <v>44228</v>
      </c>
      <c r="B795">
        <v>2021</v>
      </c>
      <c r="C795">
        <v>2</v>
      </c>
      <c r="D795" t="s">
        <v>55</v>
      </c>
      <c r="E795" t="s">
        <v>27</v>
      </c>
      <c r="F795" t="s">
        <v>23</v>
      </c>
      <c r="G795" t="s">
        <v>35</v>
      </c>
      <c r="H795" t="s">
        <v>12</v>
      </c>
      <c r="I795">
        <v>138</v>
      </c>
      <c r="J795" s="8">
        <f t="shared" si="169"/>
        <v>0.11777093795561321</v>
      </c>
      <c r="K795" s="8">
        <f t="shared" si="170"/>
        <v>1.258434772388862</v>
      </c>
      <c r="L795" s="6">
        <f t="shared" si="168"/>
        <v>0.1181419379556132</v>
      </c>
      <c r="M795">
        <f t="shared" si="164"/>
        <v>4.4427238785164094E-2</v>
      </c>
      <c r="N795" s="15">
        <v>-3.7100000000000002E-4</v>
      </c>
      <c r="O795" s="8">
        <f>(I795 - MAX(I722:I795)) / MAX(I722:I795)</f>
        <v>-8.518395757374872E-2</v>
      </c>
      <c r="P795" s="15">
        <v>4.4499999999999998E-2</v>
      </c>
      <c r="Q795">
        <f t="shared" si="165"/>
        <v>1.0237821262155096</v>
      </c>
      <c r="R795">
        <f t="shared" si="166"/>
        <v>-6.4452333222864326E-3</v>
      </c>
      <c r="S795" s="15">
        <f t="shared" si="167"/>
        <v>0.10863497425877554</v>
      </c>
    </row>
    <row r="796" spans="1:19" x14ac:dyDescent="0.3">
      <c r="A796" s="2">
        <v>44256</v>
      </c>
      <c r="B796">
        <v>2021</v>
      </c>
      <c r="C796">
        <v>3</v>
      </c>
      <c r="D796" t="s">
        <v>55</v>
      </c>
      <c r="E796" t="s">
        <v>27</v>
      </c>
      <c r="F796" t="s">
        <v>23</v>
      </c>
      <c r="G796" t="s">
        <v>35</v>
      </c>
      <c r="H796" t="s">
        <v>12</v>
      </c>
      <c r="I796">
        <v>140.61000000000001</v>
      </c>
      <c r="J796" s="8">
        <f t="shared" si="169"/>
        <v>1.891304347826097E-2</v>
      </c>
      <c r="K796" s="8">
        <f t="shared" si="170"/>
        <v>1.301148647431869</v>
      </c>
      <c r="L796" s="6">
        <f t="shared" si="168"/>
        <v>1.9217043478260969E-2</v>
      </c>
      <c r="M796">
        <f t="shared" si="164"/>
        <v>0.17150543469443999</v>
      </c>
      <c r="N796" s="15">
        <v>-3.0400000000000002E-4</v>
      </c>
      <c r="O796" s="8">
        <f>(I796 - MAX(I722:I796)) / MAX(I722:I796)</f>
        <v>-6.78820019887304E-2</v>
      </c>
      <c r="P796" s="15">
        <v>7.7800000000000008E-2</v>
      </c>
      <c r="Q796">
        <f t="shared" si="165"/>
        <v>1.1535348860508268</v>
      </c>
      <c r="R796">
        <f t="shared" si="166"/>
        <v>-1.8659939352445306E-2</v>
      </c>
      <c r="S796" s="15">
        <f t="shared" si="167"/>
        <v>0.10013478951409968</v>
      </c>
    </row>
    <row r="797" spans="1:19" x14ac:dyDescent="0.3">
      <c r="A797" s="2">
        <v>44287</v>
      </c>
      <c r="B797">
        <v>2021</v>
      </c>
      <c r="C797">
        <v>4</v>
      </c>
      <c r="D797" t="s">
        <v>55</v>
      </c>
      <c r="E797" t="s">
        <v>27</v>
      </c>
      <c r="F797" t="s">
        <v>23</v>
      </c>
      <c r="G797" t="s">
        <v>35</v>
      </c>
      <c r="H797" t="s">
        <v>12</v>
      </c>
      <c r="I797">
        <v>152.9</v>
      </c>
      <c r="J797" s="8">
        <f t="shared" si="169"/>
        <v>8.7404878742621372E-2</v>
      </c>
      <c r="K797" s="8">
        <f t="shared" si="170"/>
        <v>1.5022802659293988</v>
      </c>
      <c r="L797" s="6">
        <f t="shared" si="168"/>
        <v>8.7675878742621366E-2</v>
      </c>
      <c r="M797">
        <f t="shared" ref="M797:M828" si="171">(AVERAGE(J786:J797)-AVERAGE(N786:N797))/STDEV(J786:J797)</f>
        <v>0.17369124640082026</v>
      </c>
      <c r="N797" s="15">
        <v>-2.7099999999999997E-4</v>
      </c>
      <c r="O797" s="8">
        <f>(I797 - MAX(I722:I797)) / MAX(I722:I797)</f>
        <v>0</v>
      </c>
      <c r="P797" s="15">
        <v>1.4200000000000001E-2</v>
      </c>
      <c r="Q797">
        <f t="shared" ref="Q797:Q828" si="172" xml:space="preserve"> _xlfn.COVARIANCE.P(J786:J797, P786:P797) / _xlfn.VAR.P(P786:P797)</f>
        <v>1.1047045387944905</v>
      </c>
      <c r="R797">
        <f t="shared" ref="R797:R828" si="173">AVERAGE(J786:J797)-(AVERAGE(N786:N797)+Q797*(AVERAGE(P786:P797)-AVERAGE(N786:N797)))</f>
        <v>-1.3529567904092953E-2</v>
      </c>
      <c r="S797" s="15">
        <f t="shared" ref="S797:S828" si="174">STDEV(J786:J797)</f>
        <v>0.10033117477443067</v>
      </c>
    </row>
    <row r="798" spans="1:19" x14ac:dyDescent="0.3">
      <c r="A798" s="2">
        <v>44317</v>
      </c>
      <c r="B798">
        <v>2021</v>
      </c>
      <c r="C798">
        <v>5</v>
      </c>
      <c r="D798" t="s">
        <v>55</v>
      </c>
      <c r="E798" t="s">
        <v>27</v>
      </c>
      <c r="F798" t="s">
        <v>23</v>
      </c>
      <c r="G798" t="s">
        <v>35</v>
      </c>
      <c r="H798" t="s">
        <v>12</v>
      </c>
      <c r="I798">
        <v>148.97999999999999</v>
      </c>
      <c r="J798" s="8">
        <f t="shared" si="169"/>
        <v>-2.5637671680837252E-2</v>
      </c>
      <c r="K798" s="8">
        <f t="shared" si="170"/>
        <v>1.4381276260180624</v>
      </c>
      <c r="L798" s="6">
        <f t="shared" si="168"/>
        <v>-2.5451671680837253E-2</v>
      </c>
      <c r="M798">
        <f t="shared" si="171"/>
        <v>0.1084700684806784</v>
      </c>
      <c r="N798" s="15">
        <v>-1.8599999999999999E-4</v>
      </c>
      <c r="O798" s="8">
        <f>(I798 - MAX(I722:I798)) / MAX(I722:I798)</f>
        <v>-2.5637671680837252E-2</v>
      </c>
      <c r="P798" s="15">
        <v>1.6299999999999999E-2</v>
      </c>
      <c r="Q798">
        <f t="shared" si="172"/>
        <v>1.103634072697711</v>
      </c>
      <c r="R798">
        <f t="shared" si="173"/>
        <v>-1.7673681404865655E-2</v>
      </c>
      <c r="S798" s="15">
        <f t="shared" si="174"/>
        <v>0.10034909821468213</v>
      </c>
    </row>
    <row r="799" spans="1:19" x14ac:dyDescent="0.3">
      <c r="A799" s="2">
        <v>44348</v>
      </c>
      <c r="B799">
        <v>2021</v>
      </c>
      <c r="C799">
        <v>6</v>
      </c>
      <c r="D799" t="s">
        <v>55</v>
      </c>
      <c r="E799" t="s">
        <v>27</v>
      </c>
      <c r="F799" t="s">
        <v>23</v>
      </c>
      <c r="G799" t="s">
        <v>35</v>
      </c>
      <c r="H799" t="s">
        <v>12</v>
      </c>
      <c r="I799">
        <v>141.66999999999999</v>
      </c>
      <c r="J799" s="8">
        <f t="shared" si="169"/>
        <v>-4.9066988857564796E-2</v>
      </c>
      <c r="K799" s="8">
        <f t="shared" si="170"/>
        <v>1.3184960449589131</v>
      </c>
      <c r="L799" s="6">
        <f t="shared" si="168"/>
        <v>-4.8825988857564798E-2</v>
      </c>
      <c r="M799">
        <f t="shared" si="171"/>
        <v>9.5317081101521081E-2</v>
      </c>
      <c r="N799" s="15">
        <v>-2.41E-4</v>
      </c>
      <c r="O799" s="8">
        <f>(I799 - MAX(I722:I799)) / MAX(I722:I799)</f>
        <v>-7.3446697187704496E-2</v>
      </c>
      <c r="P799" s="15">
        <v>6.1000000000000004E-3</v>
      </c>
      <c r="Q799">
        <f t="shared" si="172"/>
        <v>1.1901236154979165</v>
      </c>
      <c r="R799">
        <f t="shared" si="173"/>
        <v>-1.5778157516491489E-2</v>
      </c>
      <c r="S799" s="15">
        <f t="shared" si="174"/>
        <v>0.10104254914288693</v>
      </c>
    </row>
    <row r="800" spans="1:19" x14ac:dyDescent="0.3">
      <c r="A800" s="2">
        <v>44378</v>
      </c>
      <c r="B800">
        <v>2021</v>
      </c>
      <c r="C800">
        <v>7</v>
      </c>
      <c r="D800" t="s">
        <v>55</v>
      </c>
      <c r="E800" t="s">
        <v>27</v>
      </c>
      <c r="F800" t="s">
        <v>23</v>
      </c>
      <c r="G800" t="s">
        <v>35</v>
      </c>
      <c r="H800" t="s">
        <v>12</v>
      </c>
      <c r="I800">
        <v>149.05000000000001</v>
      </c>
      <c r="J800" s="8">
        <f t="shared" si="169"/>
        <v>5.2092891931954717E-2</v>
      </c>
      <c r="K800" s="8">
        <f t="shared" si="170"/>
        <v>1.4392732088736224</v>
      </c>
      <c r="L800" s="6">
        <f t="shared" si="168"/>
        <v>5.2468891931954718E-2</v>
      </c>
      <c r="M800">
        <f t="shared" si="171"/>
        <v>6.4521806617783131E-2</v>
      </c>
      <c r="N800" s="15">
        <v>-3.7599999999999998E-4</v>
      </c>
      <c r="O800" s="8">
        <f>(I800 - MAX(I722:I800)) / MAX(I722:I800)</f>
        <v>-2.5179856115107875E-2</v>
      </c>
      <c r="P800" s="15">
        <v>6.1999999999999998E-3</v>
      </c>
      <c r="Q800">
        <f t="shared" si="172"/>
        <v>1.2910251620162314</v>
      </c>
      <c r="R800">
        <f t="shared" si="173"/>
        <v>-2.3841646384752328E-2</v>
      </c>
      <c r="S800" s="15">
        <f t="shared" si="174"/>
        <v>9.8768985915344096E-2</v>
      </c>
    </row>
    <row r="801" spans="1:19" x14ac:dyDescent="0.3">
      <c r="A801" s="2">
        <v>44409</v>
      </c>
      <c r="B801">
        <v>2021</v>
      </c>
      <c r="C801">
        <v>8</v>
      </c>
      <c r="D801" t="s">
        <v>55</v>
      </c>
      <c r="E801" t="s">
        <v>27</v>
      </c>
      <c r="F801" t="s">
        <v>23</v>
      </c>
      <c r="G801" t="s">
        <v>35</v>
      </c>
      <c r="H801" t="s">
        <v>12</v>
      </c>
      <c r="I801">
        <v>127.77</v>
      </c>
      <c r="J801" s="8">
        <f t="shared" si="169"/>
        <v>-0.14277088225427717</v>
      </c>
      <c r="K801" s="8">
        <f t="shared" si="170"/>
        <v>1.0910160207835138</v>
      </c>
      <c r="L801" s="6">
        <f t="shared" si="168"/>
        <v>-0.14232188225427717</v>
      </c>
      <c r="M801">
        <f t="shared" si="171"/>
        <v>-7.5684197987233789E-2</v>
      </c>
      <c r="N801" s="15">
        <v>-4.4900000000000002E-4</v>
      </c>
      <c r="O801" s="8">
        <f>(I801 - MAX(I722:I801)) / MAX(I722:I801)</f>
        <v>-0.16435578809679535</v>
      </c>
      <c r="P801" s="15">
        <v>2.6200000000000001E-2</v>
      </c>
      <c r="Q801">
        <f t="shared" si="172"/>
        <v>1.2754166768601056</v>
      </c>
      <c r="R801">
        <f t="shared" si="173"/>
        <v>-3.7460521925957682E-2</v>
      </c>
      <c r="S801" s="15">
        <f t="shared" si="174"/>
        <v>0.10715011490496489</v>
      </c>
    </row>
    <row r="802" spans="1:19" x14ac:dyDescent="0.3">
      <c r="A802" s="2">
        <v>44440</v>
      </c>
      <c r="B802">
        <v>2021</v>
      </c>
      <c r="C802">
        <v>9</v>
      </c>
      <c r="D802" t="s">
        <v>55</v>
      </c>
      <c r="E802" t="s">
        <v>27</v>
      </c>
      <c r="F802" t="s">
        <v>23</v>
      </c>
      <c r="G802" t="s">
        <v>35</v>
      </c>
      <c r="H802" t="s">
        <v>12</v>
      </c>
      <c r="I802">
        <v>121.68</v>
      </c>
      <c r="J802" s="8">
        <f t="shared" si="169"/>
        <v>-4.7663770838224852E-2</v>
      </c>
      <c r="K802" s="8">
        <f t="shared" si="170"/>
        <v>0.99135031234983173</v>
      </c>
      <c r="L802" s="6">
        <f t="shared" si="168"/>
        <v>-4.7361770838224855E-2</v>
      </c>
      <c r="M802">
        <f t="shared" si="171"/>
        <v>-9.3632227604396809E-2</v>
      </c>
      <c r="N802" s="15">
        <v>-3.0200000000000002E-4</v>
      </c>
      <c r="O802" s="8">
        <f>(I802 - MAX(I722:I802)) / MAX(I722:I802)</f>
        <v>-0.2041857423152387</v>
      </c>
      <c r="P802" s="15">
        <v>-3.5299999999999998E-2</v>
      </c>
      <c r="Q802">
        <f t="shared" si="172"/>
        <v>1.2762056494913179</v>
      </c>
      <c r="R802">
        <f t="shared" si="173"/>
        <v>-3.8245599205525102E-2</v>
      </c>
      <c r="S802" s="15">
        <f t="shared" si="174"/>
        <v>0.10767632191487984</v>
      </c>
    </row>
    <row r="803" spans="1:19" x14ac:dyDescent="0.3">
      <c r="A803" s="2">
        <v>44470</v>
      </c>
      <c r="B803">
        <v>2021</v>
      </c>
      <c r="C803">
        <v>10</v>
      </c>
      <c r="D803" t="s">
        <v>55</v>
      </c>
      <c r="E803" t="s">
        <v>27</v>
      </c>
      <c r="F803" t="s">
        <v>23</v>
      </c>
      <c r="G803" t="s">
        <v>35</v>
      </c>
      <c r="H803" t="s">
        <v>12</v>
      </c>
      <c r="I803">
        <v>110.74</v>
      </c>
      <c r="J803" s="8">
        <f t="shared" si="169"/>
        <v>-8.9907955292570771E-2</v>
      </c>
      <c r="K803" s="8">
        <f t="shared" si="170"/>
        <v>0.81231207749523615</v>
      </c>
      <c r="L803" s="6">
        <f t="shared" si="168"/>
        <v>-8.9737955292570767E-2</v>
      </c>
      <c r="M803">
        <f t="shared" si="171"/>
        <v>-4.7332812415436055E-2</v>
      </c>
      <c r="N803" s="15">
        <v>-1.7000000000000001E-4</v>
      </c>
      <c r="O803" s="8">
        <f>(I803 - MAX(I722:I803)) / MAX(I722:I803)</f>
        <v>-0.2757357750163506</v>
      </c>
      <c r="P803" s="15">
        <v>0.05</v>
      </c>
      <c r="Q803">
        <f t="shared" si="172"/>
        <v>1.1500930020213811</v>
      </c>
      <c r="R803">
        <f t="shared" si="173"/>
        <v>-4.2001346177878228E-2</v>
      </c>
      <c r="S803" s="15">
        <f t="shared" si="174"/>
        <v>0.10135604913562138</v>
      </c>
    </row>
    <row r="804" spans="1:19" x14ac:dyDescent="0.3">
      <c r="A804" s="2">
        <v>44501</v>
      </c>
      <c r="B804">
        <v>2021</v>
      </c>
      <c r="C804">
        <v>11</v>
      </c>
      <c r="D804" t="s">
        <v>55</v>
      </c>
      <c r="E804" t="s">
        <v>27</v>
      </c>
      <c r="F804" t="s">
        <v>23</v>
      </c>
      <c r="G804" t="s">
        <v>35</v>
      </c>
      <c r="H804" t="s">
        <v>12</v>
      </c>
      <c r="I804">
        <v>104.5</v>
      </c>
      <c r="J804" s="8">
        <f t="shared" si="169"/>
        <v>-5.6348202998013318E-2</v>
      </c>
      <c r="K804" s="8">
        <f t="shared" si="170"/>
        <v>0.71019154865678336</v>
      </c>
      <c r="L804" s="6">
        <f t="shared" si="168"/>
        <v>-5.608720299801332E-2</v>
      </c>
      <c r="M804">
        <f t="shared" si="171"/>
        <v>-0.31458540635328308</v>
      </c>
      <c r="N804" s="15">
        <v>-2.61E-4</v>
      </c>
      <c r="O804" s="8">
        <f>(I804 - MAX(I722:I804)) / MAX(I722:I804)</f>
        <v>-0.31654676258992809</v>
      </c>
      <c r="P804" s="15">
        <v>-4.41E-2</v>
      </c>
      <c r="Q804">
        <f t="shared" si="172"/>
        <v>0.69681858091692839</v>
      </c>
      <c r="R804">
        <f t="shared" si="173"/>
        <v>-3.4924915799695574E-2</v>
      </c>
      <c r="S804" s="15">
        <f t="shared" si="174"/>
        <v>8.0888446833310451E-2</v>
      </c>
    </row>
    <row r="805" spans="1:19" x14ac:dyDescent="0.3">
      <c r="A805" s="2">
        <v>44531</v>
      </c>
      <c r="B805">
        <v>2021</v>
      </c>
      <c r="C805">
        <v>12</v>
      </c>
      <c r="D805" t="s">
        <v>55</v>
      </c>
      <c r="E805" t="s">
        <v>27</v>
      </c>
      <c r="F805" t="s">
        <v>23</v>
      </c>
      <c r="G805" t="s">
        <v>35</v>
      </c>
      <c r="H805" t="s">
        <v>12</v>
      </c>
      <c r="I805">
        <v>109.15</v>
      </c>
      <c r="J805" s="8">
        <f t="shared" si="169"/>
        <v>4.4497607655502446E-2</v>
      </c>
      <c r="K805" s="8">
        <f t="shared" si="170"/>
        <v>0.78629098120466878</v>
      </c>
      <c r="L805" s="6">
        <f t="shared" si="168"/>
        <v>4.4817607655502446E-2</v>
      </c>
      <c r="M805">
        <f t="shared" si="171"/>
        <v>-0.2150937681058456</v>
      </c>
      <c r="N805" s="15">
        <v>-3.2000000000000003E-4</v>
      </c>
      <c r="O805" s="8">
        <f>(I805 - MAX(I722:I805)) / MAX(I722:I805)</f>
        <v>-0.28613472858077171</v>
      </c>
      <c r="P805" s="15">
        <v>5.9800000000000013E-2</v>
      </c>
      <c r="Q805">
        <f t="shared" si="172"/>
        <v>0.81065011909688445</v>
      </c>
      <c r="R805">
        <f t="shared" si="173"/>
        <v>-3.1378809231938289E-2</v>
      </c>
      <c r="S805" s="15">
        <f t="shared" si="174"/>
        <v>8.2996191526199539E-2</v>
      </c>
    </row>
    <row r="806" spans="1:19" x14ac:dyDescent="0.3">
      <c r="A806" s="2">
        <v>44562</v>
      </c>
      <c r="B806">
        <v>2022</v>
      </c>
      <c r="C806">
        <v>1</v>
      </c>
      <c r="D806" t="s">
        <v>55</v>
      </c>
      <c r="E806" t="s">
        <v>27</v>
      </c>
      <c r="F806" t="s">
        <v>23</v>
      </c>
      <c r="G806" t="s">
        <v>35</v>
      </c>
      <c r="H806" t="s">
        <v>12</v>
      </c>
      <c r="I806">
        <v>119.92</v>
      </c>
      <c r="J806" s="8">
        <f t="shared" si="169"/>
        <v>9.8671552908840998E-2</v>
      </c>
      <c r="K806" s="8">
        <f t="shared" si="170"/>
        <v>0.96254708626719054</v>
      </c>
      <c r="L806" s="6">
        <f t="shared" si="168"/>
        <v>9.8767552908840997E-2</v>
      </c>
      <c r="M806">
        <f t="shared" si="171"/>
        <v>1.154044270249131E-2</v>
      </c>
      <c r="N806" s="15">
        <v>-9.6000000000000002E-5</v>
      </c>
      <c r="O806" s="8">
        <f>(I806 - MAX(I722:I806)) / MAX(I722:I806)</f>
        <v>-0.2156965336821452</v>
      </c>
      <c r="P806" s="15">
        <v>-3.0499999999999999E-2</v>
      </c>
      <c r="Q806">
        <f t="shared" si="172"/>
        <v>0.18371587160377534</v>
      </c>
      <c r="R806">
        <f t="shared" si="173"/>
        <v>-2.0365775767995135E-3</v>
      </c>
      <c r="S806" s="15">
        <f t="shared" si="174"/>
        <v>8.1614725439039373E-2</v>
      </c>
    </row>
    <row r="807" spans="1:19" x14ac:dyDescent="0.3">
      <c r="A807" s="2">
        <v>44593</v>
      </c>
      <c r="B807">
        <v>2022</v>
      </c>
      <c r="C807">
        <v>2</v>
      </c>
      <c r="D807" t="s">
        <v>55</v>
      </c>
      <c r="E807" t="s">
        <v>27</v>
      </c>
      <c r="F807" t="s">
        <v>23</v>
      </c>
      <c r="G807" t="s">
        <v>35</v>
      </c>
      <c r="H807" t="s">
        <v>12</v>
      </c>
      <c r="I807">
        <v>95.23</v>
      </c>
      <c r="J807" s="8">
        <f t="shared" si="169"/>
        <v>-0.20588725817211473</v>
      </c>
      <c r="K807" s="8">
        <f t="shared" si="170"/>
        <v>0.5584836476419659</v>
      </c>
      <c r="L807" s="6">
        <f t="shared" si="168"/>
        <v>-0.20601225817211472</v>
      </c>
      <c r="M807">
        <f t="shared" si="171"/>
        <v>-0.28279497080983679</v>
      </c>
      <c r="N807" s="15">
        <v>1.25E-4</v>
      </c>
      <c r="O807" s="8">
        <f>(I807 - MAX(I722:I807)) / MAX(I722:I807)</f>
        <v>-0.37717462393721385</v>
      </c>
      <c r="P807" s="15">
        <v>-0.06</v>
      </c>
      <c r="Q807">
        <f t="shared" si="172"/>
        <v>0.61289227582719319</v>
      </c>
      <c r="R807">
        <f t="shared" si="173"/>
        <v>-3.0644739297418611E-2</v>
      </c>
      <c r="S807" s="15">
        <f t="shared" si="174"/>
        <v>9.2190393414857033E-2</v>
      </c>
    </row>
    <row r="808" spans="1:19" x14ac:dyDescent="0.3">
      <c r="A808" s="2">
        <v>44621</v>
      </c>
      <c r="B808">
        <v>2022</v>
      </c>
      <c r="C808">
        <v>3</v>
      </c>
      <c r="D808" t="s">
        <v>55</v>
      </c>
      <c r="E808" t="s">
        <v>27</v>
      </c>
      <c r="F808" t="s">
        <v>23</v>
      </c>
      <c r="G808" t="s">
        <v>35</v>
      </c>
      <c r="H808" t="s">
        <v>12</v>
      </c>
      <c r="I808">
        <v>100.42</v>
      </c>
      <c r="J808" s="8">
        <f t="shared" si="169"/>
        <v>5.4499632468759822E-2</v>
      </c>
      <c r="K808" s="8">
        <f t="shared" si="170"/>
        <v>0.64342043364702528</v>
      </c>
      <c r="L808" s="6">
        <f t="shared" si="168"/>
        <v>5.4264632468759823E-2</v>
      </c>
      <c r="M808">
        <f t="shared" si="171"/>
        <v>-0.2454318098387761</v>
      </c>
      <c r="N808" s="15">
        <v>2.3499999999999999E-4</v>
      </c>
      <c r="O808" s="8">
        <f>(I808 - MAX(I722:I808)) / MAX(I722:I808)</f>
        <v>-0.3432308698495749</v>
      </c>
      <c r="P808" s="15">
        <v>-5.5000000000000014E-3</v>
      </c>
      <c r="Q808">
        <f t="shared" si="172"/>
        <v>0.56873018149321675</v>
      </c>
      <c r="R808">
        <f t="shared" si="173"/>
        <v>-2.3421062765217725E-2</v>
      </c>
      <c r="S808" s="15">
        <f t="shared" si="174"/>
        <v>9.4324966327854531E-2</v>
      </c>
    </row>
    <row r="809" spans="1:19" x14ac:dyDescent="0.3">
      <c r="A809" s="2">
        <v>44652</v>
      </c>
      <c r="B809">
        <v>2022</v>
      </c>
      <c r="C809">
        <v>4</v>
      </c>
      <c r="D809" t="s">
        <v>55</v>
      </c>
      <c r="E809" t="s">
        <v>27</v>
      </c>
      <c r="F809" t="s">
        <v>23</v>
      </c>
      <c r="G809" t="s">
        <v>35</v>
      </c>
      <c r="H809" t="s">
        <v>12</v>
      </c>
      <c r="I809">
        <v>99.15</v>
      </c>
      <c r="J809" s="8">
        <f t="shared" si="169"/>
        <v>-1.2646883091017686E-2</v>
      </c>
      <c r="K809" s="8">
        <f t="shared" si="170"/>
        <v>0.6226362875533018</v>
      </c>
      <c r="L809" s="6">
        <f t="shared" si="168"/>
        <v>-1.3268883091017685E-2</v>
      </c>
      <c r="M809">
        <f t="shared" si="171"/>
        <v>-0.35929634951879741</v>
      </c>
      <c r="N809" s="15">
        <v>6.2200000000000005E-4</v>
      </c>
      <c r="O809" s="8">
        <f>(I809 - MAX(I722:I809)) / MAX(I722:I809)</f>
        <v>-0.35153695225637671</v>
      </c>
      <c r="P809" s="15">
        <v>-2.5499999999999998E-2</v>
      </c>
      <c r="Q809">
        <f t="shared" si="172"/>
        <v>0.41665727957113402</v>
      </c>
      <c r="R809">
        <f t="shared" si="173"/>
        <v>-3.0351292137570159E-2</v>
      </c>
      <c r="S809" s="15">
        <f t="shared" si="174"/>
        <v>8.784506362849169E-2</v>
      </c>
    </row>
    <row r="810" spans="1:19" x14ac:dyDescent="0.3">
      <c r="A810" s="2">
        <v>44682</v>
      </c>
      <c r="B810">
        <v>2022</v>
      </c>
      <c r="C810">
        <v>5</v>
      </c>
      <c r="D810" t="s">
        <v>55</v>
      </c>
      <c r="E810" t="s">
        <v>27</v>
      </c>
      <c r="F810" t="s">
        <v>23</v>
      </c>
      <c r="G810" t="s">
        <v>35</v>
      </c>
      <c r="H810" t="s">
        <v>12</v>
      </c>
      <c r="I810">
        <v>104.5</v>
      </c>
      <c r="J810" s="8">
        <f t="shared" si="169"/>
        <v>5.3958648512354955E-2</v>
      </c>
      <c r="K810" s="8">
        <f t="shared" si="170"/>
        <v>0.71019154865678291</v>
      </c>
      <c r="L810" s="6">
        <f t="shared" si="168"/>
        <v>5.3164648512354952E-2</v>
      </c>
      <c r="M810">
        <f t="shared" si="171"/>
        <v>-0.2740013895404203</v>
      </c>
      <c r="N810" s="15">
        <v>7.94E-4</v>
      </c>
      <c r="O810" s="8">
        <f>(I810 - MAX(I722:I810)) / MAX(I722:I810)</f>
        <v>-0.31654676258992809</v>
      </c>
      <c r="P810" s="15">
        <v>-3.5999999999999999E-3</v>
      </c>
      <c r="Q810">
        <f t="shared" si="172"/>
        <v>0.42567618079405867</v>
      </c>
      <c r="R810">
        <f t="shared" si="173"/>
        <v>-2.3033039875759408E-2</v>
      </c>
      <c r="S810" s="15">
        <f t="shared" si="174"/>
        <v>9.1280743907229719E-2</v>
      </c>
    </row>
    <row r="811" spans="1:19" x14ac:dyDescent="0.3">
      <c r="A811" s="2">
        <v>44713</v>
      </c>
      <c r="B811">
        <v>2022</v>
      </c>
      <c r="C811">
        <v>6</v>
      </c>
      <c r="D811" t="s">
        <v>55</v>
      </c>
      <c r="E811" t="s">
        <v>27</v>
      </c>
      <c r="F811" t="s">
        <v>23</v>
      </c>
      <c r="G811" t="s">
        <v>35</v>
      </c>
      <c r="H811" t="s">
        <v>12</v>
      </c>
      <c r="I811">
        <v>91.67</v>
      </c>
      <c r="J811" s="8">
        <f t="shared" si="169"/>
        <v>-0.12277511961722487</v>
      </c>
      <c r="K811" s="8">
        <f t="shared" si="170"/>
        <v>0.50022257670207937</v>
      </c>
      <c r="L811" s="6">
        <f t="shared" si="168"/>
        <v>-0.12397911961722487</v>
      </c>
      <c r="M811">
        <f t="shared" si="171"/>
        <v>-0.3277160279248939</v>
      </c>
      <c r="N811" s="15">
        <v>1.204E-3</v>
      </c>
      <c r="O811" s="8">
        <f>(I811 - MAX(I722:I811)) / MAX(I722:I811)</f>
        <v>-0.40045781556572924</v>
      </c>
      <c r="P811" s="15">
        <v>-8.8200000000000001E-2</v>
      </c>
      <c r="Q811">
        <f t="shared" si="172"/>
        <v>0.67381344186963177</v>
      </c>
      <c r="R811">
        <f t="shared" si="173"/>
        <v>-2.2766579955177509E-2</v>
      </c>
      <c r="S811" s="15">
        <f t="shared" si="174"/>
        <v>9.542960642947218E-2</v>
      </c>
    </row>
    <row r="812" spans="1:19" x14ac:dyDescent="0.3">
      <c r="A812" s="2">
        <v>44743</v>
      </c>
      <c r="B812">
        <v>2022</v>
      </c>
      <c r="C812">
        <v>7</v>
      </c>
      <c r="D812" t="s">
        <v>55</v>
      </c>
      <c r="E812" t="s">
        <v>27</v>
      </c>
      <c r="F812" t="s">
        <v>23</v>
      </c>
      <c r="G812" t="s">
        <v>35</v>
      </c>
      <c r="H812" t="s">
        <v>12</v>
      </c>
      <c r="I812">
        <v>102.16</v>
      </c>
      <c r="J812" s="8">
        <f t="shared" si="169"/>
        <v>0.11443220246536484</v>
      </c>
      <c r="K812" s="8">
        <f t="shared" si="170"/>
        <v>0.67189635034236295</v>
      </c>
      <c r="L812" s="6">
        <f t="shared" si="168"/>
        <v>0.11353020246536484</v>
      </c>
      <c r="M812">
        <f t="shared" si="171"/>
        <v>-0.25708252599580023</v>
      </c>
      <c r="N812" s="15">
        <v>9.0200000000000002E-4</v>
      </c>
      <c r="O812" s="8">
        <f>(I812 - MAX(I722:I812)) / MAX(I722:I812)</f>
        <v>-0.33185088293001969</v>
      </c>
      <c r="P812" s="15">
        <v>7.3300000000000004E-2</v>
      </c>
      <c r="Q812">
        <f t="shared" si="172"/>
        <v>0.89418829134810474</v>
      </c>
      <c r="R812">
        <f t="shared" si="173"/>
        <v>-1.9800566558062449E-2</v>
      </c>
      <c r="S812" s="15">
        <f t="shared" si="174"/>
        <v>0.10185588818074501</v>
      </c>
    </row>
    <row r="813" spans="1:19" x14ac:dyDescent="0.3">
      <c r="A813" s="2">
        <v>44774</v>
      </c>
      <c r="B813">
        <v>2022</v>
      </c>
      <c r="C813">
        <v>8</v>
      </c>
      <c r="D813" t="s">
        <v>55</v>
      </c>
      <c r="E813" t="s">
        <v>27</v>
      </c>
      <c r="F813" t="s">
        <v>23</v>
      </c>
      <c r="G813" t="s">
        <v>35</v>
      </c>
      <c r="H813" t="s">
        <v>12</v>
      </c>
      <c r="I813">
        <v>91.37</v>
      </c>
      <c r="J813" s="8">
        <f t="shared" si="169"/>
        <v>-0.10561863743147995</v>
      </c>
      <c r="K813" s="8">
        <f t="shared" si="170"/>
        <v>0.49531293589253833</v>
      </c>
      <c r="L813" s="6">
        <f t="shared" si="168"/>
        <v>-0.10648063743147995</v>
      </c>
      <c r="M813">
        <f t="shared" si="171"/>
        <v>-0.2355359968417475</v>
      </c>
      <c r="N813" s="15">
        <v>8.6200000000000003E-4</v>
      </c>
      <c r="O813" s="8">
        <f>(I813 - MAX(I722:I813)) / MAX(I722:I813)</f>
        <v>-0.4024198822759974</v>
      </c>
      <c r="P813" s="15">
        <v>-5.1499999999999997E-2</v>
      </c>
      <c r="Q813">
        <f t="shared" si="172"/>
        <v>1.154271542301444</v>
      </c>
      <c r="R813">
        <f t="shared" si="173"/>
        <v>-7.3567026475405712E-3</v>
      </c>
      <c r="S813" s="15">
        <f t="shared" si="174"/>
        <v>9.8492794860306043E-2</v>
      </c>
    </row>
    <row r="814" spans="1:19" x14ac:dyDescent="0.3">
      <c r="A814" s="2">
        <v>44805</v>
      </c>
      <c r="B814">
        <v>2022</v>
      </c>
      <c r="C814">
        <v>9</v>
      </c>
      <c r="D814" t="s">
        <v>55</v>
      </c>
      <c r="E814" t="s">
        <v>27</v>
      </c>
      <c r="F814" t="s">
        <v>23</v>
      </c>
      <c r="G814" t="s">
        <v>35</v>
      </c>
      <c r="H814" t="s">
        <v>12</v>
      </c>
      <c r="I814">
        <v>75.569999999999993</v>
      </c>
      <c r="J814" s="8">
        <f t="shared" si="169"/>
        <v>-0.17292327897559387</v>
      </c>
      <c r="K814" s="8">
        <f t="shared" si="170"/>
        <v>0.23673851992337847</v>
      </c>
      <c r="L814" s="6">
        <f t="shared" si="168"/>
        <v>-0.17441927897559387</v>
      </c>
      <c r="M814">
        <f t="shared" si="171"/>
        <v>-0.31407667611053752</v>
      </c>
      <c r="N814" s="15">
        <v>1.4959999999999999E-3</v>
      </c>
      <c r="O814" s="8">
        <f>(I814 - MAX(I722:I814)) / MAX(I722:I814)</f>
        <v>-0.50575539568345329</v>
      </c>
      <c r="P814" s="15">
        <v>-5.6599999999999998E-2</v>
      </c>
      <c r="Q814">
        <f t="shared" si="172"/>
        <v>1.2953011210459631</v>
      </c>
      <c r="R814">
        <f t="shared" si="173"/>
        <v>-1.3516017345217301E-2</v>
      </c>
      <c r="S814" s="15">
        <f t="shared" si="174"/>
        <v>0.10757476395787811</v>
      </c>
    </row>
    <row r="815" spans="1:19" x14ac:dyDescent="0.3">
      <c r="A815" s="2">
        <v>44835</v>
      </c>
      <c r="B815">
        <v>2022</v>
      </c>
      <c r="C815">
        <v>10</v>
      </c>
      <c r="D815" t="s">
        <v>55</v>
      </c>
      <c r="E815" t="s">
        <v>27</v>
      </c>
      <c r="F815" t="s">
        <v>23</v>
      </c>
      <c r="G815" t="s">
        <v>35</v>
      </c>
      <c r="H815" t="s">
        <v>12</v>
      </c>
      <c r="I815">
        <v>82.99</v>
      </c>
      <c r="J815" s="8">
        <f t="shared" si="169"/>
        <v>9.8187111287548007E-2</v>
      </c>
      <c r="K815" s="8">
        <f t="shared" si="170"/>
        <v>0.35817030261269278</v>
      </c>
      <c r="L815" s="6">
        <f t="shared" si="168"/>
        <v>9.6365111287548003E-2</v>
      </c>
      <c r="M815">
        <f t="shared" si="171"/>
        <v>-0.16292525857534981</v>
      </c>
      <c r="N815" s="15">
        <v>1.8220000000000001E-3</v>
      </c>
      <c r="O815" s="8">
        <f>(I815 - MAX(I722:I815)) / MAX(I722:I815)</f>
        <v>-0.45722694571615441</v>
      </c>
      <c r="P815" s="15">
        <v>9.0200000000000002E-2</v>
      </c>
      <c r="Q815">
        <f t="shared" si="172"/>
        <v>1.5221321178038261</v>
      </c>
      <c r="R815">
        <f t="shared" si="173"/>
        <v>6.9587565455100225E-4</v>
      </c>
      <c r="S815" s="15">
        <f t="shared" si="174"/>
        <v>0.11218724202383976</v>
      </c>
    </row>
    <row r="816" spans="1:19" x14ac:dyDescent="0.3">
      <c r="A816" s="2">
        <v>44866</v>
      </c>
      <c r="B816">
        <v>2022</v>
      </c>
      <c r="C816">
        <v>11</v>
      </c>
      <c r="D816" t="s">
        <v>55</v>
      </c>
      <c r="E816" t="s">
        <v>27</v>
      </c>
      <c r="F816" t="s">
        <v>23</v>
      </c>
      <c r="G816" t="s">
        <v>35</v>
      </c>
      <c r="H816" t="s">
        <v>12</v>
      </c>
      <c r="I816">
        <v>72.58</v>
      </c>
      <c r="J816" s="8">
        <f t="shared" si="169"/>
        <v>-0.12543679961441134</v>
      </c>
      <c r="K816" s="8">
        <f t="shared" si="170"/>
        <v>0.18780576652161995</v>
      </c>
      <c r="L816" s="6">
        <f t="shared" si="168"/>
        <v>-0.12715879961441134</v>
      </c>
      <c r="M816">
        <f t="shared" si="171"/>
        <v>-0.20852121391740239</v>
      </c>
      <c r="N816" s="15">
        <v>1.722E-3</v>
      </c>
      <c r="O816" s="8">
        <f>(I816 - MAX(I722:I816)) / MAX(I722:I816)</f>
        <v>-0.52531066056245912</v>
      </c>
      <c r="P816" s="15">
        <v>9.6000000000000002E-2</v>
      </c>
      <c r="Q816">
        <f t="shared" si="172"/>
        <v>0.95311425930929816</v>
      </c>
      <c r="R816">
        <f t="shared" si="173"/>
        <v>-2.328990893980936E-2</v>
      </c>
      <c r="S816" s="15">
        <f t="shared" si="174"/>
        <v>0.11605902350320166</v>
      </c>
    </row>
    <row r="817" spans="1:19" x14ac:dyDescent="0.3">
      <c r="A817" s="2">
        <v>44896</v>
      </c>
      <c r="B817">
        <v>2022</v>
      </c>
      <c r="C817">
        <v>12</v>
      </c>
      <c r="D817" t="s">
        <v>55</v>
      </c>
      <c r="E817" t="s">
        <v>27</v>
      </c>
      <c r="F817" t="s">
        <v>23</v>
      </c>
      <c r="G817" t="s">
        <v>35</v>
      </c>
      <c r="H817" t="s">
        <v>12</v>
      </c>
      <c r="I817">
        <v>67.849999999999994</v>
      </c>
      <c r="J817" s="8">
        <f t="shared" si="169"/>
        <v>-6.5169468173050485E-2</v>
      </c>
      <c r="K817" s="8">
        <f t="shared" si="170"/>
        <v>0.11039709642452333</v>
      </c>
      <c r="L817" s="6">
        <f t="shared" si="168"/>
        <v>-6.6907468173050488E-2</v>
      </c>
      <c r="M817">
        <f t="shared" si="171"/>
        <v>-0.29259111882545952</v>
      </c>
      <c r="N817" s="15">
        <v>1.738E-3</v>
      </c>
      <c r="O817" s="8">
        <f>(I817 - MAX(I722:I817)) / MAX(I722:I817)</f>
        <v>-0.55624591236102028</v>
      </c>
      <c r="P817" s="15">
        <v>-4.3200000000000002E-2</v>
      </c>
      <c r="Q817">
        <f t="shared" si="172"/>
        <v>0.93637807787292715</v>
      </c>
      <c r="R817">
        <f t="shared" si="173"/>
        <v>-2.4418492127483635E-2</v>
      </c>
      <c r="S817" s="15">
        <f t="shared" si="174"/>
        <v>0.11453249704636198</v>
      </c>
    </row>
    <row r="818" spans="1:19" x14ac:dyDescent="0.3">
      <c r="A818" s="2">
        <v>44927</v>
      </c>
      <c r="B818">
        <v>2023</v>
      </c>
      <c r="C818">
        <v>1</v>
      </c>
      <c r="D818" t="s">
        <v>55</v>
      </c>
      <c r="E818" t="s">
        <v>27</v>
      </c>
      <c r="F818" t="s">
        <v>23</v>
      </c>
      <c r="G818" t="s">
        <v>35</v>
      </c>
      <c r="H818" t="s">
        <v>12</v>
      </c>
      <c r="I818">
        <v>75.040000000000006</v>
      </c>
      <c r="J818" s="8">
        <f t="shared" si="169"/>
        <v>0.10596904937361847</v>
      </c>
      <c r="K818" s="8">
        <f t="shared" si="170"/>
        <v>0.22806482115985638</v>
      </c>
      <c r="L818" s="6">
        <f t="shared" si="168"/>
        <v>0.10414204937361847</v>
      </c>
      <c r="M818">
        <f t="shared" si="171"/>
        <v>-0.28673574513051392</v>
      </c>
      <c r="N818" s="15">
        <v>1.8270000000000001E-3</v>
      </c>
      <c r="O818" s="8">
        <f>(I818 - MAX(I722:I818)) / MAX(I722:I818)</f>
        <v>-0.50922171353826029</v>
      </c>
      <c r="P818" s="15">
        <v>9.7500000000000003E-2</v>
      </c>
      <c r="Q818">
        <f t="shared" si="172"/>
        <v>1.1026598868402042</v>
      </c>
      <c r="R818">
        <f t="shared" si="173"/>
        <v>-3.3940942128871471E-2</v>
      </c>
      <c r="S818" s="15">
        <f t="shared" si="174"/>
        <v>0.11530936518647542</v>
      </c>
    </row>
    <row r="819" spans="1:19" x14ac:dyDescent="0.3">
      <c r="A819" s="2">
        <v>44958</v>
      </c>
      <c r="B819">
        <v>2023</v>
      </c>
      <c r="C819">
        <v>2</v>
      </c>
      <c r="D819" t="s">
        <v>55</v>
      </c>
      <c r="E819" t="s">
        <v>27</v>
      </c>
      <c r="F819" t="s">
        <v>23</v>
      </c>
      <c r="G819" t="s">
        <v>35</v>
      </c>
      <c r="H819" t="s">
        <v>12</v>
      </c>
      <c r="I819">
        <v>63.37</v>
      </c>
      <c r="J819" s="8">
        <f t="shared" ref="J819:J850" si="175">(I819-I818)/I818</f>
        <v>-0.15551705756929649</v>
      </c>
      <c r="K819" s="8">
        <f t="shared" ref="K819:K850" si="176">(K818+1)*(J819+1)-1</f>
        <v>3.7079793668711281E-2</v>
      </c>
      <c r="L819" s="6">
        <f t="shared" si="168"/>
        <v>-0.15749205756929649</v>
      </c>
      <c r="M819">
        <f t="shared" si="171"/>
        <v>-0.2658610800753714</v>
      </c>
      <c r="N819" s="15">
        <v>1.9750000000000002E-3</v>
      </c>
      <c r="O819" s="8">
        <f>(I819 - MAX(I722:I819)) / MAX(I722:I819)</f>
        <v>-0.58554610856769129</v>
      </c>
      <c r="P819" s="15">
        <v>1.7999999999999999E-2</v>
      </c>
      <c r="Q819">
        <f t="shared" si="172"/>
        <v>0.92345313277342178</v>
      </c>
      <c r="R819">
        <f t="shared" si="173"/>
        <v>-3.5615038108020303E-2</v>
      </c>
      <c r="S819" s="15">
        <f t="shared" si="174"/>
        <v>0.10915462574969072</v>
      </c>
    </row>
    <row r="820" spans="1:19" x14ac:dyDescent="0.3">
      <c r="A820" s="2">
        <v>44986</v>
      </c>
      <c r="B820">
        <v>2023</v>
      </c>
      <c r="C820">
        <v>3</v>
      </c>
      <c r="D820" t="s">
        <v>55</v>
      </c>
      <c r="E820" t="s">
        <v>27</v>
      </c>
      <c r="F820" t="s">
        <v>23</v>
      </c>
      <c r="G820" t="s">
        <v>35</v>
      </c>
      <c r="H820" t="s">
        <v>12</v>
      </c>
      <c r="I820">
        <v>54.33</v>
      </c>
      <c r="J820" s="8">
        <f t="shared" si="175"/>
        <v>-0.14265425280100993</v>
      </c>
      <c r="K820" s="8">
        <f t="shared" si="176"/>
        <v>-0.11086404939212435</v>
      </c>
      <c r="L820" s="6">
        <f t="shared" si="168"/>
        <v>-0.14464025280100992</v>
      </c>
      <c r="M820">
        <f t="shared" si="171"/>
        <v>-0.41270953149117895</v>
      </c>
      <c r="N820" s="15">
        <v>1.9859999999999999E-3</v>
      </c>
      <c r="O820" s="8">
        <f>(I820 - MAX(I722:I820)) / MAX(I722:I820)</f>
        <v>-0.64466971877043822</v>
      </c>
      <c r="P820" s="15">
        <v>1.8100000000000002E-2</v>
      </c>
      <c r="Q820">
        <f t="shared" si="172"/>
        <v>0.93503112191983973</v>
      </c>
      <c r="R820">
        <f t="shared" si="173"/>
        <v>-5.3975590233056425E-2</v>
      </c>
      <c r="S820" s="15">
        <f t="shared" si="174"/>
        <v>0.11047812159342967</v>
      </c>
    </row>
    <row r="821" spans="1:19" x14ac:dyDescent="0.3">
      <c r="A821" s="2">
        <v>45017</v>
      </c>
      <c r="B821">
        <v>2023</v>
      </c>
      <c r="C821">
        <v>4</v>
      </c>
      <c r="D821" t="s">
        <v>55</v>
      </c>
      <c r="E821" t="s">
        <v>27</v>
      </c>
      <c r="F821" t="s">
        <v>23</v>
      </c>
      <c r="G821" t="s">
        <v>35</v>
      </c>
      <c r="H821" t="s">
        <v>12</v>
      </c>
      <c r="I821">
        <v>58.72</v>
      </c>
      <c r="J821" s="8">
        <f t="shared" si="175"/>
        <v>8.0802503221056518E-2</v>
      </c>
      <c r="K821" s="8">
        <f t="shared" si="176"/>
        <v>-3.9019638879174368E-2</v>
      </c>
      <c r="L821" s="6">
        <f t="shared" si="168"/>
        <v>7.8836503221056523E-2</v>
      </c>
      <c r="M821">
        <f t="shared" si="171"/>
        <v>-0.32673848238800851</v>
      </c>
      <c r="N821" s="15">
        <v>1.9659999999999999E-3</v>
      </c>
      <c r="O821" s="8">
        <f>(I821 - MAX(I722:I821)) / MAX(I722:I821)</f>
        <v>-0.61595814257684767</v>
      </c>
      <c r="P821" s="15">
        <v>1.03E-2</v>
      </c>
      <c r="Q821">
        <f t="shared" si="172"/>
        <v>0.98132890243566562</v>
      </c>
      <c r="R821">
        <f t="shared" si="173"/>
        <v>-4.9532807620116942E-2</v>
      </c>
      <c r="S821" s="15">
        <f t="shared" si="174"/>
        <v>0.1160558886922896</v>
      </c>
    </row>
    <row r="822" spans="1:19" x14ac:dyDescent="0.3">
      <c r="A822" s="2">
        <v>45047</v>
      </c>
      <c r="B822">
        <v>2023</v>
      </c>
      <c r="C822">
        <v>5</v>
      </c>
      <c r="D822" t="s">
        <v>55</v>
      </c>
      <c r="E822" t="s">
        <v>27</v>
      </c>
      <c r="F822" t="s">
        <v>23</v>
      </c>
      <c r="G822" t="s">
        <v>35</v>
      </c>
      <c r="H822" t="s">
        <v>12</v>
      </c>
      <c r="I822">
        <v>54.57</v>
      </c>
      <c r="J822" s="8">
        <f t="shared" si="175"/>
        <v>-7.0674386920980908E-2</v>
      </c>
      <c r="K822" s="8">
        <f t="shared" si="176"/>
        <v>-0.10693633674449154</v>
      </c>
      <c r="L822" s="6">
        <f t="shared" si="168"/>
        <v>-7.2626386920980904E-2</v>
      </c>
      <c r="M822">
        <f t="shared" si="171"/>
        <v>-0.42923345484567199</v>
      </c>
      <c r="N822" s="15">
        <v>1.952E-3</v>
      </c>
      <c r="O822" s="8">
        <f>(I822 - MAX(I722:I822)) / MAX(I722:I822)</f>
        <v>-0.64310006540222375</v>
      </c>
      <c r="P822" s="15">
        <v>-3.2400000000000012E-2</v>
      </c>
      <c r="Q822">
        <f t="shared" si="172"/>
        <v>1.004136016674672</v>
      </c>
      <c r="R822">
        <f t="shared" si="173"/>
        <v>-5.7778463929318645E-2</v>
      </c>
      <c r="S822" s="15">
        <f t="shared" si="174"/>
        <v>0.11276500161671804</v>
      </c>
    </row>
    <row r="823" spans="1:19" x14ac:dyDescent="0.3">
      <c r="A823" s="2">
        <v>45078</v>
      </c>
      <c r="B823">
        <v>2023</v>
      </c>
      <c r="C823">
        <v>6</v>
      </c>
      <c r="D823" t="s">
        <v>55</v>
      </c>
      <c r="E823" t="s">
        <v>27</v>
      </c>
      <c r="F823" t="s">
        <v>23</v>
      </c>
      <c r="G823" t="s">
        <v>35</v>
      </c>
      <c r="H823" t="s">
        <v>12</v>
      </c>
      <c r="I823">
        <v>54.7</v>
      </c>
      <c r="J823" s="8">
        <f t="shared" si="175"/>
        <v>2.3822613157412965E-3</v>
      </c>
      <c r="K823" s="8">
        <f t="shared" si="176"/>
        <v>-0.10480882572702366</v>
      </c>
      <c r="L823" s="6">
        <f t="shared" si="168"/>
        <v>4.022613157412965E-4</v>
      </c>
      <c r="M823">
        <f t="shared" si="171"/>
        <v>-0.3430831325907609</v>
      </c>
      <c r="N823" s="15">
        <v>1.98E-3</v>
      </c>
      <c r="O823" s="8">
        <f>(I823 - MAX(I722:I823)) / MAX(I722:I823)</f>
        <v>-0.64224983649444078</v>
      </c>
      <c r="P823" s="15">
        <v>4.2900000000000001E-2</v>
      </c>
      <c r="Q823">
        <f t="shared" si="172"/>
        <v>1.0821814123381577</v>
      </c>
      <c r="R823">
        <f t="shared" si="173"/>
        <v>-5.9894935591143159E-2</v>
      </c>
      <c r="S823" s="15">
        <f t="shared" si="174"/>
        <v>0.11086932739781923</v>
      </c>
    </row>
    <row r="824" spans="1:19" x14ac:dyDescent="0.3">
      <c r="A824" s="2">
        <v>45108</v>
      </c>
      <c r="B824">
        <v>2023</v>
      </c>
      <c r="C824">
        <v>7</v>
      </c>
      <c r="D824" t="s">
        <v>55</v>
      </c>
      <c r="E824" t="s">
        <v>27</v>
      </c>
      <c r="F824" t="s">
        <v>23</v>
      </c>
      <c r="G824" t="s">
        <v>35</v>
      </c>
      <c r="H824" t="s">
        <v>12</v>
      </c>
      <c r="I824">
        <v>60.38</v>
      </c>
      <c r="J824" s="8">
        <f t="shared" si="175"/>
        <v>0.10383912248628883</v>
      </c>
      <c r="K824" s="8">
        <f t="shared" si="176"/>
        <v>-1.185295973304723E-2</v>
      </c>
      <c r="L824" s="6">
        <f t="shared" si="168"/>
        <v>0.10179212248628883</v>
      </c>
      <c r="M824">
        <f t="shared" si="171"/>
        <v>-0.35599945104234088</v>
      </c>
      <c r="N824" s="15">
        <v>2.0470000000000002E-3</v>
      </c>
      <c r="O824" s="8">
        <f>(I824 - MAX(I722:I824)) / MAX(I722:I824)</f>
        <v>-0.60510137344669723</v>
      </c>
      <c r="P824" s="15">
        <v>1.6400000000000001E-2</v>
      </c>
      <c r="Q824">
        <f t="shared" si="172"/>
        <v>0.9262991367904353</v>
      </c>
      <c r="R824">
        <f t="shared" si="173"/>
        <v>-5.3244064565728375E-2</v>
      </c>
      <c r="S824" s="15">
        <f t="shared" si="174"/>
        <v>0.10959446529827328</v>
      </c>
    </row>
    <row r="825" spans="1:19" x14ac:dyDescent="0.3">
      <c r="A825" s="2">
        <v>45139</v>
      </c>
      <c r="B825">
        <v>2023</v>
      </c>
      <c r="C825">
        <v>8</v>
      </c>
      <c r="D825" t="s">
        <v>55</v>
      </c>
      <c r="E825" t="s">
        <v>27</v>
      </c>
      <c r="F825" t="s">
        <v>23</v>
      </c>
      <c r="G825" t="s">
        <v>35</v>
      </c>
      <c r="H825" t="s">
        <v>12</v>
      </c>
      <c r="I825">
        <v>55.86</v>
      </c>
      <c r="J825" s="8">
        <f t="shared" si="175"/>
        <v>-7.4859224908910282E-2</v>
      </c>
      <c r="K825" s="8">
        <f t="shared" si="176"/>
        <v>-8.5824881263465103E-2</v>
      </c>
      <c r="L825" s="6">
        <f t="shared" si="168"/>
        <v>-7.698022490891028E-2</v>
      </c>
      <c r="M825">
        <f t="shared" si="171"/>
        <v>-0.33786540945470617</v>
      </c>
      <c r="N825" s="15">
        <v>2.1210000000000001E-3</v>
      </c>
      <c r="O825" s="8">
        <f>(I825 - MAX(I722:I825)) / MAX(I722:I825)</f>
        <v>-0.63466317854807064</v>
      </c>
      <c r="P825" s="15">
        <v>-3.9E-2</v>
      </c>
      <c r="Q825">
        <f t="shared" si="172"/>
        <v>0.89166167943307528</v>
      </c>
      <c r="R825">
        <f t="shared" si="173"/>
        <v>-5.1088909383530653E-2</v>
      </c>
      <c r="S825" s="15">
        <f t="shared" si="174"/>
        <v>0.10820048679221429</v>
      </c>
    </row>
    <row r="826" spans="1:19" x14ac:dyDescent="0.3">
      <c r="A826" s="2">
        <v>45170</v>
      </c>
      <c r="B826">
        <v>2023</v>
      </c>
      <c r="C826">
        <v>9</v>
      </c>
      <c r="D826" t="s">
        <v>55</v>
      </c>
      <c r="E826" t="s">
        <v>27</v>
      </c>
      <c r="F826" t="s">
        <v>23</v>
      </c>
      <c r="G826" t="s">
        <v>35</v>
      </c>
      <c r="H826" t="s">
        <v>12</v>
      </c>
      <c r="I826">
        <v>55.27</v>
      </c>
      <c r="J826" s="8">
        <f t="shared" si="175"/>
        <v>-1.056211958467591E-2</v>
      </c>
      <c r="K826" s="8">
        <f t="shared" si="176"/>
        <v>-9.5480508188895641E-2</v>
      </c>
      <c r="L826" s="6">
        <f t="shared" si="168"/>
        <v>-1.278011958467591E-2</v>
      </c>
      <c r="M826">
        <f t="shared" si="171"/>
        <v>-0.23294492976348108</v>
      </c>
      <c r="N826" s="15">
        <v>2.2179999999999999E-3</v>
      </c>
      <c r="O826" s="8">
        <f>(I826 - MAX(I722:I826)) / MAX(I722:I826)</f>
        <v>-0.63852190974493128</v>
      </c>
      <c r="P826" s="15">
        <v>-2.8500000000000001E-2</v>
      </c>
      <c r="Q826">
        <f t="shared" si="172"/>
        <v>0.5994578222775101</v>
      </c>
      <c r="R826">
        <f t="shared" si="173"/>
        <v>-3.4224498794463661E-2</v>
      </c>
      <c r="S826" s="15">
        <f t="shared" si="174"/>
        <v>9.9110428578326817E-2</v>
      </c>
    </row>
    <row r="827" spans="1:19" x14ac:dyDescent="0.3">
      <c r="A827" s="2">
        <v>45200</v>
      </c>
      <c r="B827">
        <v>2023</v>
      </c>
      <c r="C827">
        <v>10</v>
      </c>
      <c r="D827" t="s">
        <v>55</v>
      </c>
      <c r="E827" t="s">
        <v>27</v>
      </c>
      <c r="F827" t="s">
        <v>23</v>
      </c>
      <c r="G827" t="s">
        <v>35</v>
      </c>
      <c r="H827" t="s">
        <v>12</v>
      </c>
      <c r="I827">
        <v>49.11</v>
      </c>
      <c r="J827" s="8">
        <f t="shared" si="175"/>
        <v>-0.11145286774018461</v>
      </c>
      <c r="K827" s="8">
        <f t="shared" si="176"/>
        <v>-0.19629179947813769</v>
      </c>
      <c r="L827" s="6">
        <f t="shared" si="168"/>
        <v>-0.1138058677401846</v>
      </c>
      <c r="M827">
        <f t="shared" si="171"/>
        <v>-0.42948511628857045</v>
      </c>
      <c r="N827" s="15">
        <v>2.3530000000000001E-3</v>
      </c>
      <c r="O827" s="8">
        <f>(I827 - MAX(I722:I827)) / MAX(I722:I827)</f>
        <v>-0.67880967952910398</v>
      </c>
      <c r="P827" s="15">
        <v>-2.7199999999999998E-2</v>
      </c>
      <c r="Q827">
        <f t="shared" si="172"/>
        <v>0.45355440435436517</v>
      </c>
      <c r="R827">
        <f t="shared" si="173"/>
        <v>-4.4570688057424035E-2</v>
      </c>
      <c r="S827" s="15">
        <f t="shared" si="174"/>
        <v>9.4535336700789868E-2</v>
      </c>
    </row>
    <row r="828" spans="1:19" x14ac:dyDescent="0.3">
      <c r="A828" s="2">
        <v>45231</v>
      </c>
      <c r="B828">
        <v>2023</v>
      </c>
      <c r="C828">
        <v>11</v>
      </c>
      <c r="D828" t="s">
        <v>55</v>
      </c>
      <c r="E828" t="s">
        <v>27</v>
      </c>
      <c r="F828" t="s">
        <v>23</v>
      </c>
      <c r="G828" t="s">
        <v>35</v>
      </c>
      <c r="H828" t="s">
        <v>12</v>
      </c>
      <c r="I828">
        <v>58.64</v>
      </c>
      <c r="J828" s="8">
        <f t="shared" si="175"/>
        <v>0.19405416412136023</v>
      </c>
      <c r="K828" s="8">
        <f t="shared" si="176"/>
        <v>-4.0328876428385119E-2</v>
      </c>
      <c r="L828" s="6">
        <f t="shared" si="168"/>
        <v>0.19188616412136023</v>
      </c>
      <c r="M828">
        <f t="shared" si="171"/>
        <v>-0.12585594595338656</v>
      </c>
      <c r="N828" s="15">
        <v>2.1679999999999998E-3</v>
      </c>
      <c r="O828" s="8">
        <f>(I828 - MAX(I722:I828)) / MAX(I722:I828)</f>
        <v>-0.61648136036625245</v>
      </c>
      <c r="P828" s="15">
        <v>7.9100000000000004E-2</v>
      </c>
      <c r="Q828">
        <f t="shared" si="172"/>
        <v>1.511735924334306</v>
      </c>
      <c r="R828">
        <f t="shared" si="173"/>
        <v>-2.5058804494208956E-2</v>
      </c>
      <c r="S828" s="15">
        <f t="shared" si="174"/>
        <v>0.11135302077975838</v>
      </c>
    </row>
    <row r="829" spans="1:19" x14ac:dyDescent="0.3">
      <c r="A829" s="2">
        <v>45261</v>
      </c>
      <c r="B829">
        <v>2023</v>
      </c>
      <c r="C829">
        <v>12</v>
      </c>
      <c r="D829" t="s">
        <v>55</v>
      </c>
      <c r="E829" t="s">
        <v>27</v>
      </c>
      <c r="F829" t="s">
        <v>23</v>
      </c>
      <c r="G829" t="s">
        <v>35</v>
      </c>
      <c r="H829" t="s">
        <v>12</v>
      </c>
      <c r="I829">
        <v>60.07</v>
      </c>
      <c r="J829" s="8">
        <f t="shared" si="175"/>
        <v>2.438608458390177E-2</v>
      </c>
      <c r="K829" s="8">
        <f t="shared" si="176"/>
        <v>-1.6926255236239807E-2</v>
      </c>
      <c r="L829" s="6">
        <f t="shared" si="168"/>
        <v>2.2634084583901769E-2</v>
      </c>
      <c r="M829">
        <f t="shared" ref="M829:M860" si="177">(AVERAGE(J818:J829)-AVERAGE(N818:N829))/STDEV(J818:J829)</f>
        <v>-5.932027411988447E-2</v>
      </c>
      <c r="N829" s="15">
        <v>1.7520000000000001E-3</v>
      </c>
      <c r="O829" s="8">
        <f>(I829 - MAX(I722:I829)) / MAX(I722:I829)</f>
        <v>-0.60712884238064102</v>
      </c>
      <c r="P829" s="15">
        <v>3.1800000000000002E-2</v>
      </c>
      <c r="Q829">
        <f t="shared" ref="Q829:Q860" si="178" xml:space="preserve"> _xlfn.COVARIANCE.P(J818:J829, P818:P829) / _xlfn.VAR.P(P818:P829)</f>
        <v>1.5875717529329016</v>
      </c>
      <c r="R829">
        <f t="shared" ref="R829:R860" si="179">AVERAGE(J818:J829)-(AVERAGE(N818:N829)+Q829*(AVERAGE(P818:P829)-AVERAGE(N818:N829)))</f>
        <v>-2.8071517324699341E-2</v>
      </c>
      <c r="S829" s="15">
        <f t="shared" ref="S829:S860" si="180">STDEV(J818:J829)</f>
        <v>0.1104621278162262</v>
      </c>
    </row>
    <row r="830" spans="1:19" x14ac:dyDescent="0.3">
      <c r="A830" s="2">
        <v>45292</v>
      </c>
      <c r="B830">
        <v>2024</v>
      </c>
      <c r="C830">
        <v>1</v>
      </c>
      <c r="D830" t="s">
        <v>55</v>
      </c>
      <c r="E830" t="s">
        <v>27</v>
      </c>
      <c r="F830" t="s">
        <v>23</v>
      </c>
      <c r="G830" t="s">
        <v>35</v>
      </c>
      <c r="H830" t="s">
        <v>12</v>
      </c>
      <c r="I830">
        <v>62.26</v>
      </c>
      <c r="J830" s="8">
        <f t="shared" si="175"/>
        <v>3.6457466289329075E-2</v>
      </c>
      <c r="K830" s="8">
        <f t="shared" si="176"/>
        <v>1.8914122673409528E-2</v>
      </c>
      <c r="L830" s="6">
        <f t="shared" si="168"/>
        <v>3.4645466289329074E-2</v>
      </c>
      <c r="M830">
        <f t="shared" si="177"/>
        <v>-0.11659805358263332</v>
      </c>
      <c r="N830" s="15">
        <v>1.812E-3</v>
      </c>
      <c r="O830" s="8">
        <f>(I830 - MAX(I722:I830)) / MAX(I722:I830)</f>
        <v>-0.59280575539568348</v>
      </c>
      <c r="P830" s="15">
        <v>2.8000000000000001E-2</v>
      </c>
      <c r="Q830">
        <f t="shared" si="178"/>
        <v>1.7389214118623393</v>
      </c>
      <c r="R830">
        <f t="shared" si="179"/>
        <v>-2.5845301287549541E-2</v>
      </c>
      <c r="S830" s="15">
        <f t="shared" si="180"/>
        <v>0.10586819630626844</v>
      </c>
    </row>
    <row r="831" spans="1:19" x14ac:dyDescent="0.3">
      <c r="A831" s="2">
        <v>45323</v>
      </c>
      <c r="B831">
        <v>2024</v>
      </c>
      <c r="C831">
        <v>2</v>
      </c>
      <c r="D831" t="s">
        <v>55</v>
      </c>
      <c r="E831" t="s">
        <v>27</v>
      </c>
      <c r="F831" t="s">
        <v>23</v>
      </c>
      <c r="G831" t="s">
        <v>35</v>
      </c>
      <c r="H831" t="s">
        <v>12</v>
      </c>
      <c r="I831">
        <v>69.19</v>
      </c>
      <c r="J831" s="8">
        <f t="shared" si="175"/>
        <v>0.11130742049469965</v>
      </c>
      <c r="K831" s="8">
        <f t="shared" si="176"/>
        <v>0.13232682537380658</v>
      </c>
      <c r="L831" s="6">
        <f t="shared" si="168"/>
        <v>0.10936442049469965</v>
      </c>
      <c r="M831">
        <f t="shared" si="177"/>
        <v>9.846459969192381E-2</v>
      </c>
      <c r="N831" s="15">
        <v>1.9430000000000001E-3</v>
      </c>
      <c r="O831" s="8">
        <f>(I831 - MAX(I722:I831)) / MAX(I722:I831)</f>
        <v>-0.5474820143884892</v>
      </c>
      <c r="P831" s="15">
        <v>4.9299999999999997E-2</v>
      </c>
      <c r="Q831">
        <f t="shared" si="178"/>
        <v>1.9248860045217675</v>
      </c>
      <c r="R831">
        <f t="shared" si="179"/>
        <v>-1.007699889819611E-2</v>
      </c>
      <c r="S831" s="15">
        <f t="shared" si="180"/>
        <v>0.10048295777373514</v>
      </c>
    </row>
    <row r="832" spans="1:19" x14ac:dyDescent="0.3">
      <c r="A832" s="2">
        <v>45352</v>
      </c>
      <c r="B832">
        <v>2024</v>
      </c>
      <c r="C832">
        <v>3</v>
      </c>
      <c r="D832" t="s">
        <v>55</v>
      </c>
      <c r="E832" t="s">
        <v>27</v>
      </c>
      <c r="F832" t="s">
        <v>23</v>
      </c>
      <c r="G832" t="s">
        <v>35</v>
      </c>
      <c r="H832" t="s">
        <v>12</v>
      </c>
      <c r="I832">
        <v>74.180000000000007</v>
      </c>
      <c r="J832" s="8">
        <f t="shared" si="175"/>
        <v>7.2120248590836961E-2</v>
      </c>
      <c r="K832" s="8">
        <f t="shared" si="176"/>
        <v>0.21399051750583875</v>
      </c>
      <c r="L832" s="6">
        <f t="shared" si="168"/>
        <v>7.0162248590836959E-2</v>
      </c>
      <c r="M832">
        <f t="shared" si="177"/>
        <v>0.3126151426478388</v>
      </c>
      <c r="N832" s="15">
        <v>1.9580000000000001E-3</v>
      </c>
      <c r="O832" s="8">
        <f>(I832 - MAX(I722:I832)) / MAX(I722:I832)</f>
        <v>-0.51484630477436233</v>
      </c>
      <c r="P832" s="15">
        <v>4.2199999999999988E-2</v>
      </c>
      <c r="Q832">
        <f t="shared" si="178"/>
        <v>1.9677189372274504</v>
      </c>
      <c r="R832">
        <f t="shared" si="179"/>
        <v>3.4223838590288977E-3</v>
      </c>
      <c r="S832" s="15">
        <f t="shared" si="180"/>
        <v>8.8908753513844016E-2</v>
      </c>
    </row>
    <row r="833" spans="1:19" x14ac:dyDescent="0.3">
      <c r="A833" s="2">
        <v>45383</v>
      </c>
      <c r="B833">
        <v>2024</v>
      </c>
      <c r="C833">
        <v>4</v>
      </c>
      <c r="D833" t="s">
        <v>55</v>
      </c>
      <c r="E833" t="s">
        <v>27</v>
      </c>
      <c r="F833" t="s">
        <v>23</v>
      </c>
      <c r="G833" t="s">
        <v>35</v>
      </c>
      <c r="H833" t="s">
        <v>12</v>
      </c>
      <c r="I833">
        <v>67.92</v>
      </c>
      <c r="J833" s="8">
        <f t="shared" si="175"/>
        <v>-8.4389323267727218E-2</v>
      </c>
      <c r="K833" s="8">
        <f t="shared" si="176"/>
        <v>0.1115426792800831</v>
      </c>
      <c r="L833" s="6">
        <f t="shared" si="168"/>
        <v>-8.6427323267727216E-2</v>
      </c>
      <c r="M833">
        <f t="shared" si="177"/>
        <v>0.15079031593514369</v>
      </c>
      <c r="N833" s="15">
        <v>2.0379999999999999E-3</v>
      </c>
      <c r="O833" s="8">
        <f>(I833 - MAX(I722:I833)) / MAX(I722:I833)</f>
        <v>-0.55578809679529106</v>
      </c>
      <c r="P833" s="15">
        <v>-3.1899999999999998E-2</v>
      </c>
      <c r="Q833">
        <f t="shared" si="178"/>
        <v>2.0242574874897281</v>
      </c>
      <c r="R833">
        <f t="shared" si="179"/>
        <v>-3.9190943662294614E-3</v>
      </c>
      <c r="S833" s="15">
        <f t="shared" si="180"/>
        <v>9.2991629035852688E-2</v>
      </c>
    </row>
    <row r="834" spans="1:19" x14ac:dyDescent="0.3">
      <c r="A834" s="2">
        <v>45413</v>
      </c>
      <c r="B834">
        <v>2024</v>
      </c>
      <c r="C834">
        <v>5</v>
      </c>
      <c r="D834" t="s">
        <v>55</v>
      </c>
      <c r="E834" t="s">
        <v>27</v>
      </c>
      <c r="F834" t="s">
        <v>23</v>
      </c>
      <c r="G834" t="s">
        <v>35</v>
      </c>
      <c r="H834" t="s">
        <v>12</v>
      </c>
      <c r="I834">
        <v>75.88</v>
      </c>
      <c r="J834" s="8">
        <f t="shared" si="175"/>
        <v>0.11719670200235562</v>
      </c>
      <c r="K834" s="8">
        <f t="shared" si="176"/>
        <v>0.24181181542657093</v>
      </c>
      <c r="L834" s="6">
        <f t="shared" ref="L834:L897" si="181">J834-N834</f>
        <v>0.11509670200235561</v>
      </c>
      <c r="M834">
        <f t="shared" si="177"/>
        <v>0.31940592193755535</v>
      </c>
      <c r="N834" s="15">
        <v>2.0999999999999999E-3</v>
      </c>
      <c r="O834" s="8">
        <f>(I834 - MAX(I722:I834)) / MAX(I722:I834)</f>
        <v>-0.5037279267495095</v>
      </c>
      <c r="P834" s="15">
        <v>1.2699999999999999E-2</v>
      </c>
      <c r="Q834">
        <f t="shared" si="178"/>
        <v>2.0150758594698921</v>
      </c>
      <c r="R834">
        <f t="shared" si="179"/>
        <v>4.2574005072188517E-3</v>
      </c>
      <c r="S834" s="15">
        <f t="shared" si="180"/>
        <v>9.2878139783053357E-2</v>
      </c>
    </row>
    <row r="835" spans="1:19" x14ac:dyDescent="0.3">
      <c r="A835" s="2">
        <v>45444</v>
      </c>
      <c r="B835">
        <v>2024</v>
      </c>
      <c r="C835">
        <v>6</v>
      </c>
      <c r="D835" t="s">
        <v>55</v>
      </c>
      <c r="E835" t="s">
        <v>27</v>
      </c>
      <c r="F835" t="s">
        <v>23</v>
      </c>
      <c r="G835" t="s">
        <v>35</v>
      </c>
      <c r="H835" t="s">
        <v>12</v>
      </c>
      <c r="I835">
        <v>75.36</v>
      </c>
      <c r="J835" s="8">
        <f t="shared" si="175"/>
        <v>-6.8529256721138118E-3</v>
      </c>
      <c r="K835" s="8">
        <f t="shared" si="176"/>
        <v>0.23330177135669983</v>
      </c>
      <c r="L835" s="6">
        <f t="shared" si="181"/>
        <v>-8.9229256721138107E-3</v>
      </c>
      <c r="M835">
        <f t="shared" si="177"/>
        <v>0.31002816302275266</v>
      </c>
      <c r="N835" s="15">
        <v>2.0699999999999998E-3</v>
      </c>
      <c r="O835" s="8">
        <f>(I835 - MAX(I722:I835)) / MAX(I722:I835)</f>
        <v>-0.50712884238064093</v>
      </c>
      <c r="P835" s="15">
        <v>-1.7999999999999999E-2</v>
      </c>
      <c r="Q835">
        <f t="shared" si="178"/>
        <v>2.1477176267525784</v>
      </c>
      <c r="R835">
        <f t="shared" si="179"/>
        <v>1.2723574278905612E-2</v>
      </c>
      <c r="S835" s="15">
        <f t="shared" si="180"/>
        <v>9.3180982875664023E-2</v>
      </c>
    </row>
    <row r="836" spans="1:19" x14ac:dyDescent="0.3">
      <c r="A836" s="2">
        <v>45474</v>
      </c>
      <c r="B836">
        <v>2024</v>
      </c>
      <c r="C836">
        <v>7</v>
      </c>
      <c r="D836" t="s">
        <v>55</v>
      </c>
      <c r="E836" t="s">
        <v>27</v>
      </c>
      <c r="F836" t="s">
        <v>23</v>
      </c>
      <c r="G836" t="s">
        <v>35</v>
      </c>
      <c r="H836" t="s">
        <v>12</v>
      </c>
      <c r="I836">
        <v>76.83</v>
      </c>
      <c r="J836" s="8">
        <f t="shared" si="175"/>
        <v>1.9506369426751578E-2</v>
      </c>
      <c r="K836" s="8">
        <f t="shared" si="176"/>
        <v>0.25735901132345074</v>
      </c>
      <c r="L836" s="6">
        <f t="shared" si="181"/>
        <v>1.7457369426751579E-2</v>
      </c>
      <c r="M836">
        <f t="shared" si="177"/>
        <v>0.24203998240938879</v>
      </c>
      <c r="N836" s="15">
        <v>2.049E-3</v>
      </c>
      <c r="O836" s="8">
        <f>(I836 - MAX(I722:I836)) / MAX(I722:I836)</f>
        <v>-0.49751471550032705</v>
      </c>
      <c r="P836" s="15">
        <v>-4.3E-3</v>
      </c>
      <c r="Q836">
        <f t="shared" si="178"/>
        <v>2.102975736201536</v>
      </c>
      <c r="R836">
        <f t="shared" si="179"/>
        <v>9.6604191277287112E-3</v>
      </c>
      <c r="S836" s="15">
        <f t="shared" si="180"/>
        <v>9.0319097876673513E-2</v>
      </c>
    </row>
    <row r="837" spans="1:19" x14ac:dyDescent="0.3">
      <c r="A837" s="2">
        <v>45505</v>
      </c>
      <c r="B837">
        <v>2024</v>
      </c>
      <c r="C837">
        <v>8</v>
      </c>
      <c r="D837" t="s">
        <v>55</v>
      </c>
      <c r="E837" t="s">
        <v>27</v>
      </c>
      <c r="F837" t="s">
        <v>23</v>
      </c>
      <c r="G837" t="s">
        <v>35</v>
      </c>
      <c r="H837" t="s">
        <v>12</v>
      </c>
      <c r="I837">
        <v>82.45</v>
      </c>
      <c r="J837" s="8">
        <f t="shared" si="175"/>
        <v>7.3148509696733102E-2</v>
      </c>
      <c r="K837" s="8">
        <f t="shared" si="176"/>
        <v>0.34933294915551882</v>
      </c>
      <c r="L837" s="6">
        <f t="shared" si="181"/>
        <v>7.1308509696733108E-2</v>
      </c>
      <c r="M837">
        <f t="shared" si="177"/>
        <v>0.39980587436807141</v>
      </c>
      <c r="N837" s="15">
        <v>1.8400000000000001E-3</v>
      </c>
      <c r="O837" s="8">
        <f>(I837 - MAX(I722:I837)) / MAX(I722:I837)</f>
        <v>-0.46075866579463703</v>
      </c>
      <c r="P837" s="15">
        <v>1.7500000000000002E-2</v>
      </c>
      <c r="Q837">
        <f t="shared" si="178"/>
        <v>2.1124626987471515</v>
      </c>
      <c r="R837">
        <f t="shared" si="179"/>
        <v>1.1967129690193774E-2</v>
      </c>
      <c r="S837" s="15">
        <f t="shared" si="180"/>
        <v>8.558710515661419E-2</v>
      </c>
    </row>
    <row r="838" spans="1:19" x14ac:dyDescent="0.3">
      <c r="A838" s="2">
        <v>45536</v>
      </c>
      <c r="B838">
        <v>2024</v>
      </c>
      <c r="C838">
        <v>9</v>
      </c>
      <c r="D838" t="s">
        <v>55</v>
      </c>
      <c r="E838" t="s">
        <v>27</v>
      </c>
      <c r="F838" t="s">
        <v>23</v>
      </c>
      <c r="G838" t="s">
        <v>35</v>
      </c>
      <c r="H838" t="s">
        <v>12</v>
      </c>
      <c r="I838">
        <v>83.75</v>
      </c>
      <c r="J838" s="8">
        <f t="shared" si="175"/>
        <v>1.5767131594905968E-2</v>
      </c>
      <c r="K838" s="8">
        <f t="shared" si="176"/>
        <v>0.37060805933019636</v>
      </c>
      <c r="L838" s="6">
        <f t="shared" si="181"/>
        <v>1.3961131594905968E-2</v>
      </c>
      <c r="M838">
        <f t="shared" si="177"/>
        <v>0.43076055720611034</v>
      </c>
      <c r="N838" s="15">
        <v>1.8060000000000001E-3</v>
      </c>
      <c r="O838" s="8">
        <f>(I838 - MAX(I722:I838)) / MAX(I722:I838)</f>
        <v>-0.45225637671680841</v>
      </c>
      <c r="P838" s="15">
        <v>8.6E-3</v>
      </c>
      <c r="Q838">
        <f t="shared" si="178"/>
        <v>2.266925329801734</v>
      </c>
      <c r="R838">
        <f t="shared" si="179"/>
        <v>5.4821651989763603E-3</v>
      </c>
      <c r="S838" s="15">
        <f t="shared" si="180"/>
        <v>8.4610033115524286E-2</v>
      </c>
    </row>
    <row r="839" spans="1:19" x14ac:dyDescent="0.3">
      <c r="A839" s="2">
        <v>45566</v>
      </c>
      <c r="B839">
        <v>2024</v>
      </c>
      <c r="C839">
        <v>10</v>
      </c>
      <c r="D839" t="s">
        <v>55</v>
      </c>
      <c r="E839" t="s">
        <v>27</v>
      </c>
      <c r="F839" t="s">
        <v>23</v>
      </c>
      <c r="G839" t="s">
        <v>35</v>
      </c>
      <c r="H839" t="s">
        <v>12</v>
      </c>
      <c r="I839">
        <v>89.73</v>
      </c>
      <c r="J839" s="8">
        <f t="shared" si="175"/>
        <v>7.1402985074626918E-2</v>
      </c>
      <c r="K839" s="8">
        <f t="shared" si="176"/>
        <v>0.46847356613371383</v>
      </c>
      <c r="L839" s="6">
        <f t="shared" si="181"/>
        <v>6.9544985074626919E-2</v>
      </c>
      <c r="M839">
        <f t="shared" si="177"/>
        <v>0.734319101317919</v>
      </c>
      <c r="N839" s="15">
        <v>1.8580000000000001E-3</v>
      </c>
      <c r="O839" s="8">
        <f>(I839 - MAX(I722:I839)) / MAX(I722:I839)</f>
        <v>-0.41314584695879658</v>
      </c>
      <c r="P839" s="15">
        <v>-3.4599999999999999E-2</v>
      </c>
      <c r="Q839">
        <f t="shared" si="178"/>
        <v>1.5145227291045704</v>
      </c>
      <c r="R839">
        <f t="shared" si="179"/>
        <v>3.191013977748898E-2</v>
      </c>
      <c r="S839" s="15">
        <f t="shared" si="180"/>
        <v>7.0440633577150968E-2</v>
      </c>
    </row>
    <row r="840" spans="1:19" x14ac:dyDescent="0.3">
      <c r="A840" s="2">
        <v>45597</v>
      </c>
      <c r="B840">
        <v>2024</v>
      </c>
      <c r="C840">
        <v>11</v>
      </c>
      <c r="D840" t="s">
        <v>55</v>
      </c>
      <c r="E840" t="s">
        <v>27</v>
      </c>
      <c r="F840" t="s">
        <v>23</v>
      </c>
      <c r="G840" t="s">
        <v>35</v>
      </c>
      <c r="H840" t="s">
        <v>12</v>
      </c>
      <c r="I840">
        <v>85.3</v>
      </c>
      <c r="J840" s="8">
        <f t="shared" si="175"/>
        <v>-4.9370333221887962E-2</v>
      </c>
      <c r="K840" s="8">
        <f t="shared" si="176"/>
        <v>0.39597453684615824</v>
      </c>
      <c r="L840" s="6">
        <f t="shared" si="181"/>
        <v>-5.1291333221887961E-2</v>
      </c>
      <c r="M840">
        <f t="shared" si="177"/>
        <v>0.51814140537863285</v>
      </c>
      <c r="N840" s="15">
        <v>1.921E-3</v>
      </c>
      <c r="O840" s="8">
        <f>(I840 - MAX(I722:I840)) / MAX(I722:I840)</f>
        <v>-0.44211903204708963</v>
      </c>
      <c r="P840" s="15">
        <v>-4.7999999999999996E-3</v>
      </c>
      <c r="Q840">
        <f t="shared" si="178"/>
        <v>1.2579817159137865</v>
      </c>
      <c r="R840">
        <f t="shared" si="179"/>
        <v>2.3771383565415638E-2</v>
      </c>
      <c r="S840" s="15">
        <f t="shared" si="180"/>
        <v>6.0719160778856043E-2</v>
      </c>
    </row>
    <row r="841" spans="1:19" x14ac:dyDescent="0.3">
      <c r="A841" s="2">
        <v>45627</v>
      </c>
      <c r="B841">
        <v>2024</v>
      </c>
      <c r="C841">
        <v>12</v>
      </c>
      <c r="D841" t="s">
        <v>55</v>
      </c>
      <c r="E841" t="s">
        <v>27</v>
      </c>
      <c r="F841" t="s">
        <v>23</v>
      </c>
      <c r="G841" t="s">
        <v>35</v>
      </c>
      <c r="H841" t="s">
        <v>12</v>
      </c>
      <c r="I841">
        <v>80.77</v>
      </c>
      <c r="J841" s="8">
        <f t="shared" si="175"/>
        <v>-5.310668229777258E-2</v>
      </c>
      <c r="K841" s="8">
        <f t="shared" si="176"/>
        <v>0.32183896062208905</v>
      </c>
      <c r="L841" s="6">
        <f t="shared" si="181"/>
        <v>-5.4922682297772578E-2</v>
      </c>
      <c r="M841">
        <f t="shared" si="177"/>
        <v>0.38059290784224648</v>
      </c>
      <c r="N841" s="15">
        <v>1.8159999999999999E-3</v>
      </c>
      <c r="O841" s="8">
        <f>(I841 - MAX(I722:I841)) / MAX(I722:I841)</f>
        <v>-0.47174623937213872</v>
      </c>
      <c r="P841" s="15">
        <v>1.35E-2</v>
      </c>
      <c r="Q841">
        <f t="shared" si="178"/>
        <v>1.3005144193389906</v>
      </c>
      <c r="R841">
        <f t="shared" si="179"/>
        <v>1.9038548442142124E-2</v>
      </c>
      <c r="S841" s="15">
        <f t="shared" si="180"/>
        <v>6.5681852912831948E-2</v>
      </c>
    </row>
    <row r="842" spans="1:19" x14ac:dyDescent="0.3">
      <c r="A842" s="2">
        <v>42005</v>
      </c>
      <c r="B842">
        <v>2015</v>
      </c>
      <c r="C842">
        <v>1</v>
      </c>
      <c r="D842" t="s">
        <v>55</v>
      </c>
      <c r="E842" t="s">
        <v>28</v>
      </c>
      <c r="F842" t="s">
        <v>23</v>
      </c>
      <c r="G842" t="s">
        <v>31</v>
      </c>
      <c r="H842" t="s">
        <v>12</v>
      </c>
      <c r="I842">
        <v>43.65</v>
      </c>
      <c r="J842" s="8">
        <v>8.1248451820659096E-2</v>
      </c>
      <c r="K842" s="8">
        <v>8.1248451820659096E-2</v>
      </c>
      <c r="L842" s="6">
        <f t="shared" si="181"/>
        <v>8.092345182065909E-2</v>
      </c>
      <c r="M842" t="str">
        <f>IF(COUNT(J842:J842)&lt;12,"",(AVERAGE(J842:J842)-N842)/STDEV(J842:J842))</f>
        <v/>
      </c>
      <c r="N842" s="15">
        <v>3.2499999999999999E-4</v>
      </c>
      <c r="O842" s="8">
        <f>(I842 - MAX(I842:I842)) / MAX(I842:I842)</f>
        <v>0</v>
      </c>
      <c r="P842" s="15">
        <v>6.5199999999999994E-2</v>
      </c>
    </row>
    <row r="843" spans="1:19" x14ac:dyDescent="0.3">
      <c r="A843" s="2">
        <v>42036</v>
      </c>
      <c r="B843">
        <v>2015</v>
      </c>
      <c r="C843">
        <v>2</v>
      </c>
      <c r="D843" t="s">
        <v>55</v>
      </c>
      <c r="E843" t="s">
        <v>28</v>
      </c>
      <c r="F843" t="s">
        <v>23</v>
      </c>
      <c r="G843" t="s">
        <v>31</v>
      </c>
      <c r="H843" t="s">
        <v>12</v>
      </c>
      <c r="I843">
        <v>45.93</v>
      </c>
      <c r="J843" s="8">
        <f t="shared" ref="J843:J874" si="182">(I843-I842)/I842</f>
        <v>5.2233676975945047E-2</v>
      </c>
      <c r="K843" s="8">
        <f t="shared" ref="K843:K874" si="183">(K842+1)*(J843+1)-1</f>
        <v>0.13772603418380003</v>
      </c>
      <c r="L843" s="6">
        <f t="shared" si="181"/>
        <v>5.1981676975945044E-2</v>
      </c>
      <c r="M843" t="str">
        <f>IF(COUNT(J842:J843)&lt;12,"",(AVERAGE(J842:J843)-N843)/STDEV(J842:J843))</f>
        <v/>
      </c>
      <c r="N843" s="15">
        <v>2.52E-4</v>
      </c>
      <c r="O843" s="8">
        <f>(I843 - MAX(I842:I843)) / MAX(I842:I843)</f>
        <v>0</v>
      </c>
      <c r="P843" s="15">
        <v>7.3899999999999993E-2</v>
      </c>
    </row>
    <row r="844" spans="1:19" x14ac:dyDescent="0.3">
      <c r="A844" s="2">
        <v>42064</v>
      </c>
      <c r="B844">
        <v>2015</v>
      </c>
      <c r="C844">
        <v>3</v>
      </c>
      <c r="D844" t="s">
        <v>55</v>
      </c>
      <c r="E844" t="s">
        <v>28</v>
      </c>
      <c r="F844" t="s">
        <v>23</v>
      </c>
      <c r="G844" t="s">
        <v>31</v>
      </c>
      <c r="H844" t="s">
        <v>12</v>
      </c>
      <c r="I844">
        <v>45.84</v>
      </c>
      <c r="J844" s="8">
        <f t="shared" si="182"/>
        <v>-1.9595035924231722E-3</v>
      </c>
      <c r="K844" s="8">
        <f t="shared" si="183"/>
        <v>0.13549665593262361</v>
      </c>
      <c r="L844" s="6">
        <f t="shared" si="181"/>
        <v>-2.1485035924231721E-3</v>
      </c>
      <c r="M844" t="str">
        <f>IF(COUNT(J842:J844)&lt;12,"",(AVERAGE(J842:J844)-N844)/STDEV(J842:J844))</f>
        <v/>
      </c>
      <c r="N844" s="15">
        <v>1.8900000000000001E-4</v>
      </c>
      <c r="O844" s="8">
        <f>(I844 - MAX(I842:I844)) / MAX(I842:I844)</f>
        <v>-1.9595035924231722E-3</v>
      </c>
      <c r="P844" s="15">
        <v>2.7300000000000001E-2</v>
      </c>
    </row>
    <row r="845" spans="1:19" x14ac:dyDescent="0.3">
      <c r="A845" s="2">
        <v>42095</v>
      </c>
      <c r="B845">
        <v>2015</v>
      </c>
      <c r="C845">
        <v>4</v>
      </c>
      <c r="D845" t="s">
        <v>55</v>
      </c>
      <c r="E845" t="s">
        <v>28</v>
      </c>
      <c r="F845" t="s">
        <v>23</v>
      </c>
      <c r="G845" t="s">
        <v>31</v>
      </c>
      <c r="H845" t="s">
        <v>12</v>
      </c>
      <c r="I845">
        <v>50.14</v>
      </c>
      <c r="J845" s="8">
        <f t="shared" si="182"/>
        <v>9.3804537521814946E-2</v>
      </c>
      <c r="K845" s="8">
        <f t="shared" si="183"/>
        <v>0.24201139459995091</v>
      </c>
      <c r="L845" s="6">
        <f t="shared" si="181"/>
        <v>9.3702537521814941E-2</v>
      </c>
      <c r="M845" t="str">
        <f>IF(COUNT(J842:J845)&lt;12,"",(AVERAGE(J842:J845)-N845)/STDEV(J842:J845))</f>
        <v/>
      </c>
      <c r="N845" s="15">
        <v>1.02E-4</v>
      </c>
      <c r="O845" s="8">
        <f>(I845 - MAX(I842:I845)) / MAX(I842:I845)</f>
        <v>0</v>
      </c>
      <c r="P845" s="15">
        <v>-2.2100000000000002E-2</v>
      </c>
    </row>
    <row r="846" spans="1:19" x14ac:dyDescent="0.3">
      <c r="A846" s="2">
        <v>42125</v>
      </c>
      <c r="B846">
        <v>2015</v>
      </c>
      <c r="C846">
        <v>5</v>
      </c>
      <c r="D846" t="s">
        <v>55</v>
      </c>
      <c r="E846" t="s">
        <v>28</v>
      </c>
      <c r="F846" t="s">
        <v>23</v>
      </c>
      <c r="G846" t="s">
        <v>31</v>
      </c>
      <c r="H846" t="s">
        <v>12</v>
      </c>
      <c r="I846">
        <v>52.19</v>
      </c>
      <c r="J846" s="8">
        <f t="shared" si="182"/>
        <v>4.0885520542480999E-2</v>
      </c>
      <c r="K846" s="8">
        <f t="shared" si="183"/>
        <v>0.29279167698786268</v>
      </c>
      <c r="L846" s="6">
        <f t="shared" si="181"/>
        <v>4.0422520542481001E-2</v>
      </c>
      <c r="M846" t="str">
        <f>IF(COUNT(J842:J846)&lt;12,"",(AVERAGE(J842:J846)-N846)/STDEV(J842:J846))</f>
        <v/>
      </c>
      <c r="N846" s="15">
        <v>4.6299999999999998E-4</v>
      </c>
      <c r="O846" s="8">
        <f>(I846 - MAX(I842:I846)) / MAX(I842:I846)</f>
        <v>0</v>
      </c>
      <c r="P846" s="15">
        <v>-1.24E-2</v>
      </c>
    </row>
    <row r="847" spans="1:19" x14ac:dyDescent="0.3">
      <c r="A847" s="2">
        <v>42156</v>
      </c>
      <c r="B847">
        <v>2015</v>
      </c>
      <c r="C847">
        <v>6</v>
      </c>
      <c r="D847" t="s">
        <v>55</v>
      </c>
      <c r="E847" t="s">
        <v>28</v>
      </c>
      <c r="F847" t="s">
        <v>23</v>
      </c>
      <c r="G847" t="s">
        <v>31</v>
      </c>
      <c r="H847" t="s">
        <v>12</v>
      </c>
      <c r="I847">
        <v>51.72</v>
      </c>
      <c r="J847" s="8">
        <f t="shared" si="182"/>
        <v>-9.0055566200421319E-3</v>
      </c>
      <c r="K847" s="8">
        <f t="shared" si="183"/>
        <v>0.28114936834282922</v>
      </c>
      <c r="L847" s="6">
        <f t="shared" si="181"/>
        <v>-9.666556620042132E-3</v>
      </c>
      <c r="M847" t="str">
        <f>IF(COUNT(J842:J847)&lt;12,"",(AVERAGE(J842:J847)-N847)/STDEV(J842:J847))</f>
        <v/>
      </c>
      <c r="N847" s="15">
        <v>6.6100000000000002E-4</v>
      </c>
      <c r="O847" s="8">
        <f>(I847 - MAX(I842:I847)) / MAX(I842:I847)</f>
        <v>-9.0055566200421319E-3</v>
      </c>
      <c r="P847" s="15">
        <v>-4.0999999999999988E-2</v>
      </c>
    </row>
    <row r="848" spans="1:19" x14ac:dyDescent="0.3">
      <c r="A848" s="2">
        <v>42186</v>
      </c>
      <c r="B848">
        <v>2015</v>
      </c>
      <c r="C848">
        <v>7</v>
      </c>
      <c r="D848" t="s">
        <v>55</v>
      </c>
      <c r="E848" t="s">
        <v>28</v>
      </c>
      <c r="F848" t="s">
        <v>23</v>
      </c>
      <c r="G848" t="s">
        <v>31</v>
      </c>
      <c r="H848" t="s">
        <v>12</v>
      </c>
      <c r="I848">
        <v>56.04</v>
      </c>
      <c r="J848" s="8">
        <f t="shared" si="182"/>
        <v>8.3526682134570776E-2</v>
      </c>
      <c r="K848" s="8">
        <f t="shared" si="183"/>
        <v>0.38815952439930701</v>
      </c>
      <c r="L848" s="6">
        <f t="shared" si="181"/>
        <v>8.2934682134570781E-2</v>
      </c>
      <c r="M848" t="str">
        <f>IF(COUNT(J842:J848)&lt;12,"",(AVERAGE(J842:J848)-N848)/STDEV(J842:J848))</f>
        <v/>
      </c>
      <c r="N848" s="15">
        <v>5.9199999999999997E-4</v>
      </c>
      <c r="O848" s="8">
        <f>(I848 - MAX(I842:I848)) / MAX(I842:I848)</f>
        <v>0</v>
      </c>
      <c r="P848" s="15">
        <v>5.1499999999999997E-2</v>
      </c>
    </row>
    <row r="849" spans="1:19" x14ac:dyDescent="0.3">
      <c r="A849" s="2">
        <v>42217</v>
      </c>
      <c r="B849">
        <v>2015</v>
      </c>
      <c r="C849">
        <v>8</v>
      </c>
      <c r="D849" t="s">
        <v>55</v>
      </c>
      <c r="E849" t="s">
        <v>28</v>
      </c>
      <c r="F849" t="s">
        <v>23</v>
      </c>
      <c r="G849" t="s">
        <v>31</v>
      </c>
      <c r="H849" t="s">
        <v>12</v>
      </c>
      <c r="I849">
        <v>55.69</v>
      </c>
      <c r="J849" s="8">
        <f t="shared" si="182"/>
        <v>-6.2455389007851792E-3</v>
      </c>
      <c r="K849" s="8">
        <f t="shared" si="183"/>
        <v>0.37948972008917581</v>
      </c>
      <c r="L849" s="6">
        <f t="shared" si="181"/>
        <v>-6.7525389007851789E-3</v>
      </c>
      <c r="M849" t="str">
        <f>IF(COUNT(J842:J849)&lt;12,"",(AVERAGE(J842:J849)-N849)/STDEV(J842:J849))</f>
        <v/>
      </c>
      <c r="N849" s="15">
        <v>5.0699999999999996E-4</v>
      </c>
      <c r="O849" s="8">
        <f>(I849 - MAX(I842:I849)) / MAX(I842:I849)</f>
        <v>-6.2455389007851792E-3</v>
      </c>
      <c r="P849" s="15">
        <v>-9.1899999999999996E-2</v>
      </c>
    </row>
    <row r="850" spans="1:19" x14ac:dyDescent="0.3">
      <c r="A850" s="2">
        <v>42248</v>
      </c>
      <c r="B850">
        <v>2015</v>
      </c>
      <c r="C850">
        <v>9</v>
      </c>
      <c r="D850" t="s">
        <v>55</v>
      </c>
      <c r="E850" t="s">
        <v>28</v>
      </c>
      <c r="F850" t="s">
        <v>23</v>
      </c>
      <c r="G850" t="s">
        <v>31</v>
      </c>
      <c r="H850" t="s">
        <v>12</v>
      </c>
      <c r="I850">
        <v>57.37</v>
      </c>
      <c r="J850" s="8">
        <f t="shared" si="182"/>
        <v>3.016699586999461E-2</v>
      </c>
      <c r="K850" s="8">
        <f t="shared" si="183"/>
        <v>0.42110478077780589</v>
      </c>
      <c r="L850" s="6">
        <f t="shared" si="181"/>
        <v>2.9621995869994609E-2</v>
      </c>
      <c r="M850" t="str">
        <f>IF(COUNT(J842:J850)&lt;12,"",(AVERAGE(J842:J850)-N850)/STDEV(J842:J850))</f>
        <v/>
      </c>
      <c r="N850" s="15">
        <v>5.4500000000000002E-4</v>
      </c>
      <c r="O850" s="8">
        <f>(I850 - MAX(I842:I850)) / MAX(I842:I850)</f>
        <v>0</v>
      </c>
      <c r="P850" s="15">
        <v>-5.1700000000000003E-2</v>
      </c>
    </row>
    <row r="851" spans="1:19" x14ac:dyDescent="0.3">
      <c r="A851" s="2">
        <v>42278</v>
      </c>
      <c r="B851">
        <v>2015</v>
      </c>
      <c r="C851">
        <v>10</v>
      </c>
      <c r="D851" t="s">
        <v>55</v>
      </c>
      <c r="E851" t="s">
        <v>28</v>
      </c>
      <c r="F851" t="s">
        <v>23</v>
      </c>
      <c r="G851" t="s">
        <v>31</v>
      </c>
      <c r="H851" t="s">
        <v>12</v>
      </c>
      <c r="I851">
        <v>68.209999999999994</v>
      </c>
      <c r="J851" s="8">
        <f t="shared" si="182"/>
        <v>0.18894892801115559</v>
      </c>
      <c r="K851" s="8">
        <f t="shared" si="183"/>
        <v>0.68962100569730067</v>
      </c>
      <c r="L851" s="6">
        <f t="shared" si="181"/>
        <v>0.1885169280111556</v>
      </c>
      <c r="M851" t="str">
        <f>IF(COUNT(J842:J851)&lt;12,"",(AVERAGE(J842:J851)-N851)/STDEV(J842:J851))</f>
        <v/>
      </c>
      <c r="N851" s="15">
        <v>4.3199999999999998E-4</v>
      </c>
      <c r="O851" s="8">
        <f>(I851 - MAX(I842:I851)) / MAX(I842:I851)</f>
        <v>0</v>
      </c>
      <c r="P851" s="15">
        <v>0.1024</v>
      </c>
    </row>
    <row r="852" spans="1:19" x14ac:dyDescent="0.3">
      <c r="A852" s="2">
        <v>42309</v>
      </c>
      <c r="B852">
        <v>2015</v>
      </c>
      <c r="C852">
        <v>11</v>
      </c>
      <c r="D852" t="s">
        <v>55</v>
      </c>
      <c r="E852" t="s">
        <v>28</v>
      </c>
      <c r="F852" t="s">
        <v>23</v>
      </c>
      <c r="G852" t="s">
        <v>31</v>
      </c>
      <c r="H852" t="s">
        <v>12</v>
      </c>
      <c r="I852">
        <v>70.849999999999994</v>
      </c>
      <c r="J852" s="8">
        <f t="shared" si="182"/>
        <v>3.8704002345697125E-2</v>
      </c>
      <c r="K852" s="8">
        <f t="shared" si="183"/>
        <v>0.75501610106514794</v>
      </c>
      <c r="L852" s="6">
        <f t="shared" si="181"/>
        <v>3.8274002345697125E-2</v>
      </c>
      <c r="M852" t="str">
        <f>IF(COUNT(J842:J852)&lt;12,"",(AVERAGE(J842:J852)-N852)/STDEV(J842:J852))</f>
        <v/>
      </c>
      <c r="N852" s="15">
        <v>4.2999999999999999E-4</v>
      </c>
      <c r="O852" s="8">
        <f>(I852 - MAX(I842:I852)) / MAX(I842:I852)</f>
        <v>0</v>
      </c>
      <c r="P852" s="15">
        <v>2.58E-2</v>
      </c>
    </row>
    <row r="853" spans="1:19" x14ac:dyDescent="0.3">
      <c r="A853" s="2">
        <v>42339</v>
      </c>
      <c r="B853">
        <v>2015</v>
      </c>
      <c r="C853">
        <v>12</v>
      </c>
      <c r="D853" t="s">
        <v>55</v>
      </c>
      <c r="E853" t="s">
        <v>28</v>
      </c>
      <c r="F853" t="s">
        <v>23</v>
      </c>
      <c r="G853" t="s">
        <v>31</v>
      </c>
      <c r="H853" t="s">
        <v>12</v>
      </c>
      <c r="I853">
        <v>64.510000000000005</v>
      </c>
      <c r="J853" s="8">
        <f t="shared" si="182"/>
        <v>-8.9484827099505851E-2</v>
      </c>
      <c r="K853" s="8">
        <f t="shared" si="183"/>
        <v>0.59796878870448422</v>
      </c>
      <c r="L853" s="6">
        <f t="shared" si="181"/>
        <v>-8.9939827099505848E-2</v>
      </c>
      <c r="M853">
        <f t="shared" ref="M853:M884" si="184">(AVERAGE(J842:J853)-AVERAGE(N842:N853))/STDEV(J842:J853)</f>
        <v>0.60372864480860944</v>
      </c>
      <c r="N853" s="15">
        <v>4.55E-4</v>
      </c>
      <c r="O853" s="8">
        <f>(I853 - MAX(I842:I853)) / MAX(I842:I853)</f>
        <v>-8.9484827099505851E-2</v>
      </c>
      <c r="P853" s="15">
        <v>-6.2300000000000001E-2</v>
      </c>
      <c r="Q853">
        <f t="shared" ref="Q853:Q884" si="185" xml:space="preserve"> _xlfn.COVARIANCE.P(J842:J853, P842:P853) / _xlfn.VAR.P(P842:P853)</f>
        <v>0.81046750442019422</v>
      </c>
      <c r="R853">
        <f t="shared" ref="R853:R884" si="186">AVERAGE(J842:J853)-(AVERAGE(N842:N853)+Q853*(AVERAGE(P842:P853)-AVERAGE(N842:N853)))</f>
        <v>3.745394725191404E-2</v>
      </c>
      <c r="S853" s="15">
        <f t="shared" ref="S853:S884" si="187">STDEV(J842:J853)</f>
        <v>6.8721598311135529E-2</v>
      </c>
    </row>
    <row r="854" spans="1:19" x14ac:dyDescent="0.3">
      <c r="A854" s="2">
        <v>42370</v>
      </c>
      <c r="B854">
        <v>2016</v>
      </c>
      <c r="C854">
        <v>1</v>
      </c>
      <c r="D854" t="s">
        <v>55</v>
      </c>
      <c r="E854" t="s">
        <v>28</v>
      </c>
      <c r="F854" t="s">
        <v>23</v>
      </c>
      <c r="G854" t="s">
        <v>31</v>
      </c>
      <c r="H854" t="s">
        <v>12</v>
      </c>
      <c r="I854">
        <v>58.95</v>
      </c>
      <c r="J854" s="8">
        <f t="shared" si="182"/>
        <v>-8.6188187877848418E-2</v>
      </c>
      <c r="K854" s="8">
        <f t="shared" si="183"/>
        <v>0.46024275452068419</v>
      </c>
      <c r="L854" s="6">
        <f t="shared" si="181"/>
        <v>-8.6547187877848417E-2</v>
      </c>
      <c r="M854">
        <f t="shared" si="184"/>
        <v>0.35964122753535083</v>
      </c>
      <c r="N854" s="15">
        <v>3.59E-4</v>
      </c>
      <c r="O854" s="8">
        <f>(I854 - MAX(I842:I854)) / MAX(I842:I854)</f>
        <v>-0.16796047988708529</v>
      </c>
      <c r="P854" s="15">
        <v>-7.3899999999999993E-2</v>
      </c>
      <c r="Q854">
        <f t="shared" si="185"/>
        <v>0.92793335558721823</v>
      </c>
      <c r="R854">
        <f t="shared" si="186"/>
        <v>3.3672131217588067E-2</v>
      </c>
      <c r="S854" s="15">
        <f t="shared" si="187"/>
        <v>7.6557715489431244E-2</v>
      </c>
    </row>
    <row r="855" spans="1:19" x14ac:dyDescent="0.3">
      <c r="A855" s="2">
        <v>42401</v>
      </c>
      <c r="B855">
        <v>2016</v>
      </c>
      <c r="C855">
        <v>2</v>
      </c>
      <c r="D855" t="s">
        <v>55</v>
      </c>
      <c r="E855" t="s">
        <v>28</v>
      </c>
      <c r="F855" t="s">
        <v>23</v>
      </c>
      <c r="G855" t="s">
        <v>31</v>
      </c>
      <c r="H855" t="s">
        <v>12</v>
      </c>
      <c r="I855">
        <v>60.95</v>
      </c>
      <c r="J855" s="8">
        <f t="shared" si="182"/>
        <v>3.3927056827820185E-2</v>
      </c>
      <c r="K855" s="8">
        <f t="shared" si="183"/>
        <v>0.5097844934357203</v>
      </c>
      <c r="L855" s="6">
        <f t="shared" si="181"/>
        <v>3.3783056827820186E-2</v>
      </c>
      <c r="M855">
        <f t="shared" si="184"/>
        <v>0.34137613395525451</v>
      </c>
      <c r="N855" s="15">
        <v>1.44E-4</v>
      </c>
      <c r="O855" s="8">
        <f>(I855 - MAX(I842:I855)) / MAX(I842:I855)</f>
        <v>-0.1397318278052222</v>
      </c>
      <c r="P855" s="15">
        <v>-3.2599999999999997E-2</v>
      </c>
      <c r="Q855">
        <f t="shared" si="185"/>
        <v>1.0377902090265376</v>
      </c>
      <c r="R855">
        <f t="shared" si="186"/>
        <v>4.2083394700472551E-2</v>
      </c>
      <c r="S855" s="15">
        <f t="shared" si="187"/>
        <v>7.6211417580588428E-2</v>
      </c>
    </row>
    <row r="856" spans="1:19" x14ac:dyDescent="0.3">
      <c r="A856" s="2">
        <v>42430</v>
      </c>
      <c r="B856">
        <v>2016</v>
      </c>
      <c r="C856">
        <v>3</v>
      </c>
      <c r="D856" t="s">
        <v>55</v>
      </c>
      <c r="E856" t="s">
        <v>28</v>
      </c>
      <c r="F856" t="s">
        <v>23</v>
      </c>
      <c r="G856" t="s">
        <v>31</v>
      </c>
      <c r="H856" t="s">
        <v>12</v>
      </c>
      <c r="I856">
        <v>65.3</v>
      </c>
      <c r="J856" s="8">
        <f t="shared" si="182"/>
        <v>7.1369975389663567E-2</v>
      </c>
      <c r="K856" s="8">
        <f t="shared" si="183"/>
        <v>0.61753777557592326</v>
      </c>
      <c r="L856" s="6">
        <f t="shared" si="181"/>
        <v>7.1226975389663563E-2</v>
      </c>
      <c r="M856">
        <f t="shared" si="184"/>
        <v>0.41910194335207729</v>
      </c>
      <c r="N856" s="15">
        <v>1.4300000000000001E-4</v>
      </c>
      <c r="O856" s="8">
        <f>(I856 - MAX(I842:I856)) / MAX(I842:I856)</f>
        <v>-7.833450952717004E-2</v>
      </c>
      <c r="P856" s="15">
        <v>2.01E-2</v>
      </c>
      <c r="Q856">
        <f t="shared" si="185"/>
        <v>1.1349716165363644</v>
      </c>
      <c r="R856">
        <f t="shared" si="186"/>
        <v>5.0379172253185556E-2</v>
      </c>
      <c r="S856" s="15">
        <f t="shared" si="187"/>
        <v>7.66672234645909E-2</v>
      </c>
    </row>
    <row r="857" spans="1:19" x14ac:dyDescent="0.3">
      <c r="A857" s="2">
        <v>42461</v>
      </c>
      <c r="B857">
        <v>2016</v>
      </c>
      <c r="C857">
        <v>4</v>
      </c>
      <c r="D857" t="s">
        <v>55</v>
      </c>
      <c r="E857" t="s">
        <v>28</v>
      </c>
      <c r="F857" t="s">
        <v>23</v>
      </c>
      <c r="G857" t="s">
        <v>31</v>
      </c>
      <c r="H857" t="s">
        <v>12</v>
      </c>
      <c r="I857">
        <v>72.180000000000007</v>
      </c>
      <c r="J857" s="8">
        <f t="shared" si="182"/>
        <v>0.10535987748851471</v>
      </c>
      <c r="K857" s="8">
        <f t="shared" si="183"/>
        <v>0.78796135744364726</v>
      </c>
      <c r="L857" s="6">
        <f t="shared" si="181"/>
        <v>0.1052478774885147</v>
      </c>
      <c r="M857">
        <f t="shared" si="184"/>
        <v>0.42660576392576016</v>
      </c>
      <c r="N857" s="15">
        <v>1.12E-4</v>
      </c>
      <c r="O857" s="8">
        <f>(I857 - MAX(I842:I857)) / MAX(I842:I857)</f>
        <v>0</v>
      </c>
      <c r="P857" s="15">
        <v>7.7000000000000002E-3</v>
      </c>
      <c r="Q857">
        <f t="shared" si="185"/>
        <v>1.1793750377286609</v>
      </c>
      <c r="R857">
        <f t="shared" si="186"/>
        <v>4.912739249099024E-2</v>
      </c>
      <c r="S857" s="15">
        <f t="shared" si="187"/>
        <v>7.757394955186013E-2</v>
      </c>
    </row>
    <row r="858" spans="1:19" x14ac:dyDescent="0.3">
      <c r="A858" s="2">
        <v>42491</v>
      </c>
      <c r="B858">
        <v>2016</v>
      </c>
      <c r="C858">
        <v>5</v>
      </c>
      <c r="D858" t="s">
        <v>55</v>
      </c>
      <c r="E858" t="s">
        <v>28</v>
      </c>
      <c r="F858" t="s">
        <v>23</v>
      </c>
      <c r="G858" t="s">
        <v>31</v>
      </c>
      <c r="H858" t="s">
        <v>12</v>
      </c>
      <c r="I858">
        <v>77.69</v>
      </c>
      <c r="J858" s="8">
        <f t="shared" si="182"/>
        <v>7.6336935439179701E-2</v>
      </c>
      <c r="K858" s="8">
        <f t="shared" si="183"/>
        <v>0.92444884815457096</v>
      </c>
      <c r="L858" s="6">
        <f t="shared" si="181"/>
        <v>7.6225935439179701E-2</v>
      </c>
      <c r="M858">
        <f t="shared" si="184"/>
        <v>0.45928952687706198</v>
      </c>
      <c r="N858" s="15">
        <v>1.11E-4</v>
      </c>
      <c r="O858" s="8">
        <f>(I858 - MAX(I842:I858)) / MAX(I842:I858)</f>
        <v>0</v>
      </c>
      <c r="P858" s="15">
        <v>1.1599999999999999E-2</v>
      </c>
      <c r="Q858">
        <f t="shared" si="185"/>
        <v>1.188177385994017</v>
      </c>
      <c r="R858">
        <f t="shared" si="186"/>
        <v>4.9819472548992522E-2</v>
      </c>
      <c r="S858" s="15">
        <f t="shared" si="187"/>
        <v>7.8549824906032864E-2</v>
      </c>
    </row>
    <row r="859" spans="1:19" x14ac:dyDescent="0.3">
      <c r="A859" s="2">
        <v>42522</v>
      </c>
      <c r="B859">
        <v>2016</v>
      </c>
      <c r="C859">
        <v>6</v>
      </c>
      <c r="D859" t="s">
        <v>55</v>
      </c>
      <c r="E859" t="s">
        <v>28</v>
      </c>
      <c r="F859" t="s">
        <v>23</v>
      </c>
      <c r="G859" t="s">
        <v>31</v>
      </c>
      <c r="H859" t="s">
        <v>12</v>
      </c>
      <c r="I859">
        <v>71.38</v>
      </c>
      <c r="J859" s="8">
        <f t="shared" si="182"/>
        <v>-8.1220234264384128E-2</v>
      </c>
      <c r="K859" s="8">
        <f t="shared" si="183"/>
        <v>0.76814466187763242</v>
      </c>
      <c r="L859" s="6">
        <f t="shared" si="181"/>
        <v>-8.1206234264384128E-2</v>
      </c>
      <c r="M859">
        <f t="shared" si="184"/>
        <v>0.35487723760776668</v>
      </c>
      <c r="N859" s="15">
        <v>-1.4E-5</v>
      </c>
      <c r="O859" s="8">
        <f>(I859 - MAX(I842:I859)) / MAX(I842:I859)</f>
        <v>-8.1220234264384128E-2</v>
      </c>
      <c r="P859" s="15">
        <v>-6.4899999999999999E-2</v>
      </c>
      <c r="Q859">
        <f t="shared" si="185"/>
        <v>1.2540357588030138</v>
      </c>
      <c r="R859">
        <f t="shared" si="186"/>
        <v>4.7046626905191812E-2</v>
      </c>
      <c r="S859" s="15">
        <f t="shared" si="187"/>
        <v>8.4861661786711423E-2</v>
      </c>
    </row>
    <row r="860" spans="1:19" x14ac:dyDescent="0.3">
      <c r="A860" s="2">
        <v>42552</v>
      </c>
      <c r="B860">
        <v>2016</v>
      </c>
      <c r="C860">
        <v>7</v>
      </c>
      <c r="D860" t="s">
        <v>55</v>
      </c>
      <c r="E860" t="s">
        <v>28</v>
      </c>
      <c r="F860" t="s">
        <v>23</v>
      </c>
      <c r="G860" t="s">
        <v>31</v>
      </c>
      <c r="H860" t="s">
        <v>12</v>
      </c>
      <c r="I860">
        <v>74.66</v>
      </c>
      <c r="J860" s="8">
        <f t="shared" si="182"/>
        <v>4.5951246847856564E-2</v>
      </c>
      <c r="K860" s="8">
        <f t="shared" si="183"/>
        <v>0.84939311369829129</v>
      </c>
      <c r="L860" s="6">
        <f t="shared" si="181"/>
        <v>4.6080246847856561E-2</v>
      </c>
      <c r="M860">
        <f t="shared" si="184"/>
        <v>0.32425144775605208</v>
      </c>
      <c r="N860" s="15">
        <v>-1.2899999999999999E-4</v>
      </c>
      <c r="O860" s="8">
        <f>(I860 - MAX(I842:I860)) / MAX(I842:I860)</f>
        <v>-3.9001158450251011E-2</v>
      </c>
      <c r="P860" s="15">
        <v>4.3999999999999997E-2</v>
      </c>
      <c r="Q860">
        <f t="shared" si="185"/>
        <v>1.2158404661799236</v>
      </c>
      <c r="R860">
        <f t="shared" si="186"/>
        <v>4.4146585130516558E-2</v>
      </c>
      <c r="S860" s="15">
        <f t="shared" si="187"/>
        <v>8.3405238003624108E-2</v>
      </c>
    </row>
    <row r="861" spans="1:19" x14ac:dyDescent="0.3">
      <c r="A861" s="2">
        <v>42583</v>
      </c>
      <c r="B861">
        <v>2016</v>
      </c>
      <c r="C861">
        <v>8</v>
      </c>
      <c r="D861" t="s">
        <v>55</v>
      </c>
      <c r="E861" t="s">
        <v>28</v>
      </c>
      <c r="F861" t="s">
        <v>23</v>
      </c>
      <c r="G861" t="s">
        <v>31</v>
      </c>
      <c r="H861" t="s">
        <v>12</v>
      </c>
      <c r="I861">
        <v>75.95</v>
      </c>
      <c r="J861" s="8">
        <f t="shared" si="182"/>
        <v>1.7278328422180637E-2</v>
      </c>
      <c r="K861" s="8">
        <f t="shared" si="183"/>
        <v>0.88134753529848964</v>
      </c>
      <c r="L861" s="6">
        <f t="shared" si="181"/>
        <v>1.7388328422180636E-2</v>
      </c>
      <c r="M861">
        <f t="shared" si="184"/>
        <v>0.35083553617854979</v>
      </c>
      <c r="N861" s="15">
        <v>-1.1E-4</v>
      </c>
      <c r="O861" s="8">
        <f>(I861 - MAX(I842:I861)) / MAX(I842:I861)</f>
        <v>-2.2396704852619319E-2</v>
      </c>
      <c r="P861" s="15">
        <v>1.0800000000000001E-2</v>
      </c>
      <c r="Q861">
        <f t="shared" si="185"/>
        <v>1.3679520670196306</v>
      </c>
      <c r="R861">
        <f t="shared" si="186"/>
        <v>3.6520238570386304E-2</v>
      </c>
      <c r="S861" s="15">
        <f t="shared" si="187"/>
        <v>8.2819455614970255E-2</v>
      </c>
    </row>
    <row r="862" spans="1:19" x14ac:dyDescent="0.3">
      <c r="A862" s="2">
        <v>42614</v>
      </c>
      <c r="B862">
        <v>2016</v>
      </c>
      <c r="C862">
        <v>9</v>
      </c>
      <c r="D862" t="s">
        <v>55</v>
      </c>
      <c r="E862" t="s">
        <v>28</v>
      </c>
      <c r="F862" t="s">
        <v>23</v>
      </c>
      <c r="G862" t="s">
        <v>31</v>
      </c>
      <c r="H862" t="s">
        <v>12</v>
      </c>
      <c r="I862">
        <v>76.760000000000005</v>
      </c>
      <c r="J862" s="8">
        <f t="shared" si="182"/>
        <v>1.0664911125740648E-2</v>
      </c>
      <c r="K862" s="8">
        <f t="shared" si="183"/>
        <v>0.90141193955907917</v>
      </c>
      <c r="L862" s="6">
        <f t="shared" si="181"/>
        <v>1.0734911125740649E-2</v>
      </c>
      <c r="M862">
        <f t="shared" si="184"/>
        <v>0.3311443178369774</v>
      </c>
      <c r="N862" s="15">
        <v>-6.9999999999999994E-5</v>
      </c>
      <c r="O862" s="8">
        <f>(I862 - MAX(I842:I862)) / MAX(I842:I862)</f>
        <v>-1.1970652593641301E-2</v>
      </c>
      <c r="P862" s="15">
        <v>-6.8999999999999999E-3</v>
      </c>
      <c r="Q862">
        <f t="shared" si="185"/>
        <v>1.4847653772777789</v>
      </c>
      <c r="R862">
        <f t="shared" si="186"/>
        <v>2.9964488368366196E-2</v>
      </c>
      <c r="S862" s="15">
        <f t="shared" si="187"/>
        <v>8.2991260630766159E-2</v>
      </c>
    </row>
    <row r="863" spans="1:19" x14ac:dyDescent="0.3">
      <c r="A863" s="2">
        <v>42644</v>
      </c>
      <c r="B863">
        <v>2016</v>
      </c>
      <c r="C863">
        <v>10</v>
      </c>
      <c r="D863" t="s">
        <v>55</v>
      </c>
      <c r="E863" t="s">
        <v>28</v>
      </c>
      <c r="F863" t="s">
        <v>23</v>
      </c>
      <c r="G863" t="s">
        <v>31</v>
      </c>
      <c r="H863" t="s">
        <v>12</v>
      </c>
      <c r="I863">
        <v>72.52</v>
      </c>
      <c r="J863" s="8">
        <f t="shared" si="182"/>
        <v>-5.5237102657634297E-2</v>
      </c>
      <c r="K863" s="8">
        <f t="shared" si="183"/>
        <v>0.79638345305920288</v>
      </c>
      <c r="L863" s="6">
        <f t="shared" si="181"/>
        <v>-5.5239102657634299E-2</v>
      </c>
      <c r="M863">
        <f t="shared" si="184"/>
        <v>0.1046316439606297</v>
      </c>
      <c r="N863" s="15">
        <v>1.9999999999999999E-6</v>
      </c>
      <c r="O863" s="8">
        <f>(I863 - MAX(I842:I863)) / MAX(I842:I863)</f>
        <v>-6.6546531085081753E-2</v>
      </c>
      <c r="P863" s="15">
        <v>1.77E-2</v>
      </c>
      <c r="Q863">
        <f t="shared" si="185"/>
        <v>1.2719100661657654</v>
      </c>
      <c r="R863">
        <f t="shared" si="186"/>
        <v>1.8227597910046103E-2</v>
      </c>
      <c r="S863" s="15">
        <f t="shared" si="187"/>
        <v>6.8517339123247617E-2</v>
      </c>
    </row>
    <row r="864" spans="1:19" x14ac:dyDescent="0.3">
      <c r="A864" s="2">
        <v>42675</v>
      </c>
      <c r="B864">
        <v>2016</v>
      </c>
      <c r="C864">
        <v>11</v>
      </c>
      <c r="D864" t="s">
        <v>55</v>
      </c>
      <c r="E864" t="s">
        <v>28</v>
      </c>
      <c r="F864" t="s">
        <v>23</v>
      </c>
      <c r="G864" t="s">
        <v>31</v>
      </c>
      <c r="H864" t="s">
        <v>12</v>
      </c>
      <c r="I864">
        <v>68.55</v>
      </c>
      <c r="J864" s="8">
        <f t="shared" si="182"/>
        <v>-5.4743519029233301E-2</v>
      </c>
      <c r="K864" s="8">
        <f t="shared" si="183"/>
        <v>0.69804310131285652</v>
      </c>
      <c r="L864" s="6">
        <f t="shared" si="181"/>
        <v>-5.4901519029233299E-2</v>
      </c>
      <c r="M864">
        <f t="shared" si="184"/>
        <v>-8.5177293993395579E-3</v>
      </c>
      <c r="N864" s="15">
        <v>1.5799999999999999E-4</v>
      </c>
      <c r="O864" s="8">
        <f>(I864 - MAX(I842:I864)) / MAX(I842:I864)</f>
        <v>-0.11764705882352942</v>
      </c>
      <c r="P864" s="15">
        <v>-1.1999999999999999E-3</v>
      </c>
      <c r="Q864">
        <f t="shared" si="185"/>
        <v>1.2573253350813689</v>
      </c>
      <c r="R864">
        <f t="shared" si="186"/>
        <v>1.3136648029454107E-2</v>
      </c>
      <c r="S864" s="15">
        <f t="shared" si="187"/>
        <v>6.9918275287896459E-2</v>
      </c>
    </row>
    <row r="865" spans="1:19" x14ac:dyDescent="0.3">
      <c r="A865" s="2">
        <v>42705</v>
      </c>
      <c r="B865">
        <v>2016</v>
      </c>
      <c r="C865">
        <v>12</v>
      </c>
      <c r="D865" t="s">
        <v>55</v>
      </c>
      <c r="E865" t="s">
        <v>28</v>
      </c>
      <c r="F865" t="s">
        <v>23</v>
      </c>
      <c r="G865" t="s">
        <v>31</v>
      </c>
      <c r="H865" t="s">
        <v>12</v>
      </c>
      <c r="I865">
        <v>69.41</v>
      </c>
      <c r="J865" s="8">
        <f t="shared" si="182"/>
        <v>1.2545587162654989E-2</v>
      </c>
      <c r="K865" s="8">
        <f t="shared" si="183"/>
        <v>0.71934604904632193</v>
      </c>
      <c r="L865" s="6">
        <f t="shared" si="181"/>
        <v>1.2335587162654989E-2</v>
      </c>
      <c r="M865">
        <f t="shared" si="184"/>
        <v>0.12372528453484836</v>
      </c>
      <c r="N865" s="15">
        <v>2.1000000000000001E-4</v>
      </c>
      <c r="O865" s="8">
        <f>(I865 - MAX(I842:I865)) / MAX(I842:I865)</f>
        <v>-0.10657742309177502</v>
      </c>
      <c r="P865" s="15">
        <v>7.8299999999999995E-2</v>
      </c>
      <c r="Q865">
        <f t="shared" si="185"/>
        <v>0.79442414429024455</v>
      </c>
      <c r="R865">
        <f t="shared" si="186"/>
        <v>7.2796857538979243E-3</v>
      </c>
      <c r="S865" s="15">
        <f t="shared" si="187"/>
        <v>6.4072645048633886E-2</v>
      </c>
    </row>
    <row r="866" spans="1:19" x14ac:dyDescent="0.3">
      <c r="A866" s="2">
        <v>42736</v>
      </c>
      <c r="B866">
        <v>2017</v>
      </c>
      <c r="C866">
        <v>1</v>
      </c>
      <c r="D866" t="s">
        <v>55</v>
      </c>
      <c r="E866" t="s">
        <v>28</v>
      </c>
      <c r="F866" t="s">
        <v>23</v>
      </c>
      <c r="G866" t="s">
        <v>31</v>
      </c>
      <c r="H866" t="s">
        <v>12</v>
      </c>
      <c r="I866">
        <v>77.28</v>
      </c>
      <c r="J866" s="8">
        <f t="shared" si="182"/>
        <v>0.11338423858233691</v>
      </c>
      <c r="K866" s="8">
        <f t="shared" si="183"/>
        <v>0.91429279167698851</v>
      </c>
      <c r="L866" s="6">
        <f t="shared" si="181"/>
        <v>0.11317523858233691</v>
      </c>
      <c r="M866">
        <f t="shared" si="184"/>
        <v>0.38818244927387985</v>
      </c>
      <c r="N866" s="15">
        <v>2.0900000000000001E-4</v>
      </c>
      <c r="O866" s="8">
        <f>(I866 - MAX(I842:I866)) / MAX(I842:I866)</f>
        <v>-5.2773844767665928E-3</v>
      </c>
      <c r="P866" s="15">
        <v>-1.8200000000000001E-2</v>
      </c>
      <c r="Q866">
        <f t="shared" si="185"/>
        <v>0.40343492338081333</v>
      </c>
      <c r="R866">
        <f t="shared" si="186"/>
        <v>2.2364354464459991E-2</v>
      </c>
      <c r="S866" s="15">
        <f t="shared" si="187"/>
        <v>6.3297405186279992E-2</v>
      </c>
    </row>
    <row r="867" spans="1:19" x14ac:dyDescent="0.3">
      <c r="A867" s="2">
        <v>42767</v>
      </c>
      <c r="B867">
        <v>2017</v>
      </c>
      <c r="C867">
        <v>2</v>
      </c>
      <c r="D867" t="s">
        <v>55</v>
      </c>
      <c r="E867" t="s">
        <v>28</v>
      </c>
      <c r="F867" t="s">
        <v>23</v>
      </c>
      <c r="G867" t="s">
        <v>31</v>
      </c>
      <c r="H867" t="s">
        <v>12</v>
      </c>
      <c r="I867">
        <v>79.69</v>
      </c>
      <c r="J867" s="8">
        <f t="shared" si="182"/>
        <v>3.1185300207039295E-2</v>
      </c>
      <c r="K867" s="8">
        <f t="shared" si="183"/>
        <v>0.97399058706960662</v>
      </c>
      <c r="L867" s="6">
        <f t="shared" si="181"/>
        <v>3.0970300207039295E-2</v>
      </c>
      <c r="M867">
        <f t="shared" si="184"/>
        <v>0.38467169932255518</v>
      </c>
      <c r="N867" s="15">
        <v>2.1499999999999999E-4</v>
      </c>
      <c r="O867" s="8">
        <f>(I867 - MAX(I842:I867)) / MAX(I842:I867)</f>
        <v>0</v>
      </c>
      <c r="P867" s="15">
        <v>2.75E-2</v>
      </c>
      <c r="Q867">
        <f t="shared" si="185"/>
        <v>0.48165091116840647</v>
      </c>
      <c r="R867">
        <f t="shared" si="186"/>
        <v>1.9292737188646655E-2</v>
      </c>
      <c r="S867" s="15">
        <f t="shared" si="187"/>
        <v>6.3265754760969767E-2</v>
      </c>
    </row>
    <row r="868" spans="1:19" x14ac:dyDescent="0.3">
      <c r="A868" s="2">
        <v>42795</v>
      </c>
      <c r="B868">
        <v>2017</v>
      </c>
      <c r="C868">
        <v>3</v>
      </c>
      <c r="D868" t="s">
        <v>55</v>
      </c>
      <c r="E868" t="s">
        <v>28</v>
      </c>
      <c r="F868" t="s">
        <v>23</v>
      </c>
      <c r="G868" t="s">
        <v>31</v>
      </c>
      <c r="H868" t="s">
        <v>12</v>
      </c>
      <c r="I868">
        <v>80.680000000000007</v>
      </c>
      <c r="J868" s="8">
        <f t="shared" si="182"/>
        <v>1.2423139666206664E-2</v>
      </c>
      <c r="K868" s="8">
        <f t="shared" si="183"/>
        <v>0.99851374783254965</v>
      </c>
      <c r="L868" s="6">
        <f t="shared" si="181"/>
        <v>1.2133139666206664E-2</v>
      </c>
      <c r="M868">
        <f t="shared" si="184"/>
        <v>0.31537118466221131</v>
      </c>
      <c r="N868" s="15">
        <v>2.9E-4</v>
      </c>
      <c r="O868" s="8">
        <f>(I868 - MAX(I842:I868)) / MAX(I842:I868)</f>
        <v>0</v>
      </c>
      <c r="P868" s="15">
        <v>5.4600000000000003E-2</v>
      </c>
      <c r="Q868">
        <f t="shared" si="185"/>
        <v>0.37057962328416916</v>
      </c>
      <c r="R868">
        <f t="shared" si="186"/>
        <v>1.44705033325849E-2</v>
      </c>
      <c r="S868" s="15">
        <f t="shared" si="187"/>
        <v>6.1553052487436748E-2</v>
      </c>
    </row>
    <row r="869" spans="1:19" x14ac:dyDescent="0.3">
      <c r="A869" s="2">
        <v>42826</v>
      </c>
      <c r="B869">
        <v>2017</v>
      </c>
      <c r="C869">
        <v>4</v>
      </c>
      <c r="D869" t="s">
        <v>55</v>
      </c>
      <c r="E869" t="s">
        <v>28</v>
      </c>
      <c r="F869" t="s">
        <v>23</v>
      </c>
      <c r="G869" t="s">
        <v>31</v>
      </c>
      <c r="H869" t="s">
        <v>12</v>
      </c>
      <c r="I869">
        <v>81.760000000000005</v>
      </c>
      <c r="J869" s="8">
        <f t="shared" si="182"/>
        <v>1.3386217154189368E-2</v>
      </c>
      <c r="K869" s="8">
        <f t="shared" si="183"/>
        <v>1.0252662868466693</v>
      </c>
      <c r="L869" s="6">
        <f t="shared" si="181"/>
        <v>1.3198217154189368E-2</v>
      </c>
      <c r="M869">
        <f t="shared" si="184"/>
        <v>0.21232868309766892</v>
      </c>
      <c r="N869" s="15">
        <v>1.8799999999999999E-4</v>
      </c>
      <c r="O869" s="8">
        <f>(I869 - MAX(I842:I869)) / MAX(I842:I869)</f>
        <v>0</v>
      </c>
      <c r="P869" s="15">
        <v>1.6799999999999999E-2</v>
      </c>
      <c r="Q869">
        <f t="shared" si="185"/>
        <v>0.40768641994996407</v>
      </c>
      <c r="R869">
        <f t="shared" si="186"/>
        <v>5.9983113523159283E-3</v>
      </c>
      <c r="S869" s="15">
        <f t="shared" si="187"/>
        <v>5.5297540979316988E-2</v>
      </c>
    </row>
    <row r="870" spans="1:19" x14ac:dyDescent="0.3">
      <c r="A870" s="2">
        <v>42856</v>
      </c>
      <c r="B870">
        <v>2017</v>
      </c>
      <c r="C870">
        <v>5</v>
      </c>
      <c r="D870" t="s">
        <v>55</v>
      </c>
      <c r="E870" t="s">
        <v>28</v>
      </c>
      <c r="F870" t="s">
        <v>23</v>
      </c>
      <c r="G870" t="s">
        <v>31</v>
      </c>
      <c r="H870" t="s">
        <v>12</v>
      </c>
      <c r="I870">
        <v>91.61</v>
      </c>
      <c r="J870" s="8">
        <f t="shared" si="182"/>
        <v>0.12047455968688837</v>
      </c>
      <c r="K870" s="8">
        <f t="shared" si="183"/>
        <v>1.2692593510032211</v>
      </c>
      <c r="L870" s="6">
        <f t="shared" si="181"/>
        <v>0.12019455968688837</v>
      </c>
      <c r="M870">
        <f t="shared" si="184"/>
        <v>0.25197662882909722</v>
      </c>
      <c r="N870" s="15">
        <v>2.7999999999999998E-4</v>
      </c>
      <c r="O870" s="8">
        <f>(I870 - MAX(I842:I870)) / MAX(I842:I870)</f>
        <v>0</v>
      </c>
      <c r="P870" s="15">
        <v>-1.4E-3</v>
      </c>
      <c r="Q870">
        <f t="shared" si="185"/>
        <v>0.30348340078519653</v>
      </c>
      <c r="R870">
        <f t="shared" si="186"/>
        <v>1.1463284311671032E-2</v>
      </c>
      <c r="S870" s="15">
        <f t="shared" si="187"/>
        <v>6.1137837056184967E-2</v>
      </c>
    </row>
    <row r="871" spans="1:19" x14ac:dyDescent="0.3">
      <c r="A871" s="2">
        <v>42887</v>
      </c>
      <c r="B871">
        <v>2017</v>
      </c>
      <c r="C871">
        <v>6</v>
      </c>
      <c r="D871" t="s">
        <v>55</v>
      </c>
      <c r="E871" t="s">
        <v>28</v>
      </c>
      <c r="F871" t="s">
        <v>23</v>
      </c>
      <c r="G871" t="s">
        <v>31</v>
      </c>
      <c r="H871" t="s">
        <v>12</v>
      </c>
      <c r="I871">
        <v>90.32</v>
      </c>
      <c r="J871" s="8">
        <f t="shared" si="182"/>
        <v>-1.4081432158061416E-2</v>
      </c>
      <c r="K871" s="8">
        <f t="shared" si="183"/>
        <v>1.2373049294030225</v>
      </c>
      <c r="L871" s="6">
        <f t="shared" si="181"/>
        <v>-1.4290432158061417E-2</v>
      </c>
      <c r="M871">
        <f t="shared" si="184"/>
        <v>0.38744028402997477</v>
      </c>
      <c r="N871" s="15">
        <v>2.0900000000000001E-4</v>
      </c>
      <c r="O871" s="8">
        <f>(I871 - MAX(I842:I871)) / MAX(I842:I871)</f>
        <v>-1.4081432158061416E-2</v>
      </c>
      <c r="P871" s="15">
        <v>-3.1699999999999999E-2</v>
      </c>
      <c r="Q871">
        <f t="shared" si="185"/>
        <v>-0.16863573971294227</v>
      </c>
      <c r="R871">
        <f t="shared" si="186"/>
        <v>2.3635499765289517E-2</v>
      </c>
      <c r="S871" s="15">
        <f t="shared" si="187"/>
        <v>5.4154469172055526E-2</v>
      </c>
    </row>
    <row r="872" spans="1:19" x14ac:dyDescent="0.3">
      <c r="A872" s="2">
        <v>42917</v>
      </c>
      <c r="B872">
        <v>2017</v>
      </c>
      <c r="C872">
        <v>7</v>
      </c>
      <c r="D872" t="s">
        <v>55</v>
      </c>
      <c r="E872" t="s">
        <v>28</v>
      </c>
      <c r="F872" t="s">
        <v>23</v>
      </c>
      <c r="G872" t="s">
        <v>31</v>
      </c>
      <c r="H872" t="s">
        <v>12</v>
      </c>
      <c r="I872">
        <v>94.37</v>
      </c>
      <c r="J872" s="8">
        <f t="shared" si="182"/>
        <v>4.4840566873339364E-2</v>
      </c>
      <c r="K872" s="8">
        <f t="shared" si="183"/>
        <v>1.3376269507059706</v>
      </c>
      <c r="L872" s="6">
        <f t="shared" si="181"/>
        <v>4.4460566873339366E-2</v>
      </c>
      <c r="M872">
        <f t="shared" si="184"/>
        <v>0.38527089716015767</v>
      </c>
      <c r="N872" s="15">
        <v>3.8000000000000002E-4</v>
      </c>
      <c r="O872" s="8">
        <f>(I872 - MAX(I842:I872)) / MAX(I842:I872)</f>
        <v>0</v>
      </c>
      <c r="P872" s="15">
        <v>2.2000000000000001E-3</v>
      </c>
      <c r="Q872">
        <f t="shared" si="185"/>
        <v>-0.28250302336268773</v>
      </c>
      <c r="R872">
        <f t="shared" si="186"/>
        <v>2.4296458798016014E-2</v>
      </c>
      <c r="S872" s="15">
        <f t="shared" si="187"/>
        <v>5.4109069073125342E-2</v>
      </c>
    </row>
    <row r="873" spans="1:19" x14ac:dyDescent="0.3">
      <c r="A873" s="2">
        <v>42948</v>
      </c>
      <c r="B873">
        <v>2017</v>
      </c>
      <c r="C873">
        <v>8</v>
      </c>
      <c r="D873" t="s">
        <v>55</v>
      </c>
      <c r="E873" t="s">
        <v>28</v>
      </c>
      <c r="F873" t="s">
        <v>23</v>
      </c>
      <c r="G873" t="s">
        <v>31</v>
      </c>
      <c r="H873" t="s">
        <v>12</v>
      </c>
      <c r="I873">
        <v>95.49</v>
      </c>
      <c r="J873" s="8">
        <f t="shared" si="182"/>
        <v>1.1868178446540111E-2</v>
      </c>
      <c r="K873" s="8">
        <f t="shared" si="183"/>
        <v>1.3653703244983908</v>
      </c>
      <c r="L873" s="6">
        <f t="shared" si="181"/>
        <v>1.158017844654011E-2</v>
      </c>
      <c r="M873">
        <f t="shared" si="184"/>
        <v>0.37593371224611999</v>
      </c>
      <c r="N873" s="15">
        <v>2.8800000000000001E-4</v>
      </c>
      <c r="O873" s="8">
        <f>(I873 - MAX(I842:I873)) / MAX(I842:I873)</f>
        <v>0</v>
      </c>
      <c r="P873" s="15">
        <v>-8.1000000000000013E-3</v>
      </c>
      <c r="Q873">
        <f t="shared" si="185"/>
        <v>-0.25569148902854993</v>
      </c>
      <c r="R873">
        <f t="shared" si="186"/>
        <v>2.3073840484624037E-2</v>
      </c>
      <c r="S873" s="15">
        <f t="shared" si="187"/>
        <v>5.4165498929775902E-2</v>
      </c>
    </row>
    <row r="874" spans="1:19" x14ac:dyDescent="0.3">
      <c r="A874" s="2">
        <v>42979</v>
      </c>
      <c r="B874">
        <v>2017</v>
      </c>
      <c r="C874">
        <v>9</v>
      </c>
      <c r="D874" t="s">
        <v>55</v>
      </c>
      <c r="E874" t="s">
        <v>28</v>
      </c>
      <c r="F874" t="s">
        <v>23</v>
      </c>
      <c r="G874" t="s">
        <v>31</v>
      </c>
      <c r="H874" t="s">
        <v>12</v>
      </c>
      <c r="I874">
        <v>95.03</v>
      </c>
      <c r="J874" s="8">
        <f t="shared" si="182"/>
        <v>-4.8172583516597946E-3</v>
      </c>
      <c r="K874" s="8">
        <f t="shared" si="183"/>
        <v>1.3539757245479325</v>
      </c>
      <c r="L874" s="6">
        <f t="shared" si="181"/>
        <v>-5.1062583516597948E-3</v>
      </c>
      <c r="M874">
        <f t="shared" si="184"/>
        <v>0.34873124430183738</v>
      </c>
      <c r="N874" s="15">
        <v>2.8899999999999998E-4</v>
      </c>
      <c r="O874" s="8">
        <f>(I874 - MAX(I842:I874)) / MAX(I842:I874)</f>
        <v>-4.8172583516597946E-3</v>
      </c>
      <c r="P874" s="15">
        <v>5.0700000000000002E-2</v>
      </c>
      <c r="Q874">
        <f t="shared" si="185"/>
        <v>-0.33006441627574679</v>
      </c>
      <c r="R874">
        <f t="shared" si="186"/>
        <v>2.4116784935499052E-2</v>
      </c>
      <c r="S874" s="15">
        <f t="shared" si="187"/>
        <v>5.460520083311482E-2</v>
      </c>
    </row>
    <row r="875" spans="1:19" x14ac:dyDescent="0.3">
      <c r="A875" s="2">
        <v>43009</v>
      </c>
      <c r="B875">
        <v>2017</v>
      </c>
      <c r="C875">
        <v>10</v>
      </c>
      <c r="D875" t="s">
        <v>55</v>
      </c>
      <c r="E875" t="s">
        <v>28</v>
      </c>
      <c r="F875" t="s">
        <v>23</v>
      </c>
      <c r="G875" t="s">
        <v>31</v>
      </c>
      <c r="H875" t="s">
        <v>12</v>
      </c>
      <c r="I875">
        <v>103.95</v>
      </c>
      <c r="J875" s="8">
        <f t="shared" ref="J875:J906" si="188">(I875-I874)/I874</f>
        <v>9.3865095233084311E-2</v>
      </c>
      <c r="K875" s="8">
        <f t="shared" ref="K875:K906" si="189">(K874+1)*(J875+1)-1</f>
        <v>1.5749318801089931</v>
      </c>
      <c r="L875" s="6">
        <f t="shared" si="181"/>
        <v>9.3555095233084307E-2</v>
      </c>
      <c r="M875">
        <f t="shared" si="184"/>
        <v>0.59266361562723324</v>
      </c>
      <c r="N875" s="15">
        <v>3.1E-4</v>
      </c>
      <c r="O875" s="8">
        <f>(I875 - MAX(I842:I875)) / MAX(I842:I875)</f>
        <v>0</v>
      </c>
      <c r="P875" s="15">
        <v>1.8700000000000001E-2</v>
      </c>
      <c r="Q875">
        <f t="shared" si="185"/>
        <v>-0.29736677061364714</v>
      </c>
      <c r="R875">
        <f t="shared" si="186"/>
        <v>3.6030772321244693E-2</v>
      </c>
      <c r="S875" s="15">
        <f t="shared" si="187"/>
        <v>5.3052111338910225E-2</v>
      </c>
    </row>
    <row r="876" spans="1:19" x14ac:dyDescent="0.3">
      <c r="A876" s="2">
        <v>43040</v>
      </c>
      <c r="B876">
        <v>2017</v>
      </c>
      <c r="C876">
        <v>11</v>
      </c>
      <c r="D876" t="s">
        <v>55</v>
      </c>
      <c r="E876" t="s">
        <v>28</v>
      </c>
      <c r="F876" t="s">
        <v>23</v>
      </c>
      <c r="G876" t="s">
        <v>31</v>
      </c>
      <c r="H876" t="s">
        <v>12</v>
      </c>
      <c r="I876">
        <v>100.56</v>
      </c>
      <c r="J876" s="8">
        <f t="shared" si="188"/>
        <v>-3.261183261183262E-2</v>
      </c>
      <c r="K876" s="8">
        <f t="shared" si="189"/>
        <v>1.4909586326480069</v>
      </c>
      <c r="L876" s="6">
        <f t="shared" si="181"/>
        <v>-3.286883261183262E-2</v>
      </c>
      <c r="M876">
        <f t="shared" si="184"/>
        <v>0.66456303623252844</v>
      </c>
      <c r="N876" s="15">
        <v>2.5700000000000001E-4</v>
      </c>
      <c r="O876" s="8">
        <f>(I876 - MAX(I842:I876)) / MAX(I842:I876)</f>
        <v>-3.261183261183262E-2</v>
      </c>
      <c r="P876" s="15">
        <v>-2.52E-2</v>
      </c>
      <c r="Q876">
        <f t="shared" si="185"/>
        <v>-0.17209393853149726</v>
      </c>
      <c r="R876">
        <f t="shared" si="186"/>
        <v>3.5588115919973871E-2</v>
      </c>
      <c r="S876" s="15">
        <f t="shared" si="187"/>
        <v>5.0075179493707538E-2</v>
      </c>
    </row>
    <row r="877" spans="1:19" x14ac:dyDescent="0.3">
      <c r="A877" s="2">
        <v>43070</v>
      </c>
      <c r="B877">
        <v>2017</v>
      </c>
      <c r="C877">
        <v>12</v>
      </c>
      <c r="D877" t="s">
        <v>55</v>
      </c>
      <c r="E877" t="s">
        <v>28</v>
      </c>
      <c r="F877" t="s">
        <v>23</v>
      </c>
      <c r="G877" t="s">
        <v>31</v>
      </c>
      <c r="H877" t="s">
        <v>12</v>
      </c>
      <c r="I877">
        <v>100.24</v>
      </c>
      <c r="J877" s="8">
        <f t="shared" si="188"/>
        <v>-3.1821797931583869E-3</v>
      </c>
      <c r="K877" s="8">
        <f t="shared" si="189"/>
        <v>1.4830319544216009</v>
      </c>
      <c r="L877" s="6">
        <f t="shared" si="181"/>
        <v>-3.4291797931583867E-3</v>
      </c>
      <c r="M877">
        <f t="shared" si="184"/>
        <v>0.62830433042553735</v>
      </c>
      <c r="N877" s="15">
        <v>2.4699999999999999E-4</v>
      </c>
      <c r="O877" s="8">
        <f>(I877 - MAX(I842:I877)) / MAX(I842:I877)</f>
        <v>-3.5690235690235765E-2</v>
      </c>
      <c r="P877" s="15">
        <v>-1.8499999999999999E-2</v>
      </c>
      <c r="Q877">
        <f t="shared" si="185"/>
        <v>2.2018315637993099E-2</v>
      </c>
      <c r="R877">
        <f t="shared" si="186"/>
        <v>3.1846515031246567E-2</v>
      </c>
      <c r="S877" s="15">
        <f t="shared" si="187"/>
        <v>5.0874044943995868E-2</v>
      </c>
    </row>
    <row r="878" spans="1:19" x14ac:dyDescent="0.3">
      <c r="A878" s="2">
        <v>43101</v>
      </c>
      <c r="B878">
        <v>2018</v>
      </c>
      <c r="C878">
        <v>1</v>
      </c>
      <c r="D878" t="s">
        <v>55</v>
      </c>
      <c r="E878" t="s">
        <v>28</v>
      </c>
      <c r="F878" t="s">
        <v>23</v>
      </c>
      <c r="G878" t="s">
        <v>31</v>
      </c>
      <c r="H878" t="s">
        <v>12</v>
      </c>
      <c r="I878">
        <v>111.78</v>
      </c>
      <c r="J878" s="8">
        <f t="shared" si="188"/>
        <v>0.11512370311252999</v>
      </c>
      <c r="K878" s="8">
        <f t="shared" si="189"/>
        <v>1.7688877879613587</v>
      </c>
      <c r="L878" s="6">
        <f t="shared" si="181"/>
        <v>0.11472870311252999</v>
      </c>
      <c r="M878">
        <f t="shared" si="184"/>
        <v>0.62771367237023801</v>
      </c>
      <c r="N878" s="15">
        <v>3.9500000000000001E-4</v>
      </c>
      <c r="O878" s="8">
        <f>(I878 - MAX(I842:I878)) / MAX(I842:I878)</f>
        <v>0</v>
      </c>
      <c r="P878" s="15">
        <v>3.0099999999999998E-2</v>
      </c>
      <c r="Q878">
        <f t="shared" si="185"/>
        <v>0.47267967208400796</v>
      </c>
      <c r="R878">
        <f t="shared" si="186"/>
        <v>2.7668295912260235E-2</v>
      </c>
      <c r="S878" s="15">
        <f t="shared" si="187"/>
        <v>5.112814892322836E-2</v>
      </c>
    </row>
    <row r="879" spans="1:19" x14ac:dyDescent="0.3">
      <c r="A879" s="2">
        <v>43132</v>
      </c>
      <c r="B879">
        <v>2018</v>
      </c>
      <c r="C879">
        <v>2</v>
      </c>
      <c r="D879" t="s">
        <v>55</v>
      </c>
      <c r="E879" t="s">
        <v>28</v>
      </c>
      <c r="F879" t="s">
        <v>23</v>
      </c>
      <c r="G879" t="s">
        <v>31</v>
      </c>
      <c r="H879" t="s">
        <v>12</v>
      </c>
      <c r="I879">
        <v>113.39</v>
      </c>
      <c r="J879" s="8">
        <f t="shared" si="188"/>
        <v>1.4403292181069954E-2</v>
      </c>
      <c r="K879" s="8">
        <f t="shared" si="189"/>
        <v>1.8087688877879624</v>
      </c>
      <c r="L879" s="6">
        <f t="shared" si="181"/>
        <v>1.3854292181069955E-2</v>
      </c>
      <c r="M879">
        <f t="shared" si="184"/>
        <v>0.59673205725994494</v>
      </c>
      <c r="N879" s="15">
        <v>5.4900000000000001E-4</v>
      </c>
      <c r="O879" s="8">
        <f>(I879 - MAX(I842:I879)) / MAX(I842:I879)</f>
        <v>0</v>
      </c>
      <c r="P879" s="15">
        <v>-4.7199999999999999E-2</v>
      </c>
      <c r="Q879">
        <f t="shared" si="185"/>
        <v>0.45322521575501035</v>
      </c>
      <c r="R879">
        <f t="shared" si="186"/>
        <v>2.9258049236465869E-2</v>
      </c>
      <c r="S879" s="15">
        <f t="shared" si="187"/>
        <v>5.1392419339336401E-2</v>
      </c>
    </row>
    <row r="880" spans="1:19" x14ac:dyDescent="0.3">
      <c r="A880" s="2">
        <v>43160</v>
      </c>
      <c r="B880">
        <v>2018</v>
      </c>
      <c r="C880">
        <v>3</v>
      </c>
      <c r="D880" t="s">
        <v>55</v>
      </c>
      <c r="E880" t="s">
        <v>28</v>
      </c>
      <c r="F880" t="s">
        <v>23</v>
      </c>
      <c r="G880" t="s">
        <v>31</v>
      </c>
      <c r="H880" t="s">
        <v>12</v>
      </c>
      <c r="I880">
        <v>111.52</v>
      </c>
      <c r="J880" s="8">
        <f t="shared" si="188"/>
        <v>-1.649175412293857E-2</v>
      </c>
      <c r="K880" s="8">
        <f t="shared" si="189"/>
        <v>1.7624473619024035</v>
      </c>
      <c r="L880" s="6">
        <f t="shared" si="181"/>
        <v>-1.693275412293857E-2</v>
      </c>
      <c r="M880">
        <f t="shared" si="184"/>
        <v>0.53298972444603365</v>
      </c>
      <c r="N880" s="15">
        <v>4.4099999999999999E-4</v>
      </c>
      <c r="O880" s="8">
        <f>(I880 - MAX(I842:I880)) / MAX(I842:I880)</f>
        <v>-1.649175412293857E-2</v>
      </c>
      <c r="P880" s="15">
        <v>-2.2499999999999999E-2</v>
      </c>
      <c r="Q880">
        <f t="shared" si="185"/>
        <v>0.80610870462409123</v>
      </c>
      <c r="R880">
        <f t="shared" si="186"/>
        <v>3.0927874545978711E-2</v>
      </c>
      <c r="S880" s="15">
        <f t="shared" si="187"/>
        <v>5.2994166695282681E-2</v>
      </c>
    </row>
    <row r="881" spans="1:19" x14ac:dyDescent="0.3">
      <c r="A881" s="2">
        <v>43191</v>
      </c>
      <c r="B881">
        <v>2018</v>
      </c>
      <c r="C881">
        <v>4</v>
      </c>
      <c r="D881" t="s">
        <v>55</v>
      </c>
      <c r="E881" t="s">
        <v>28</v>
      </c>
      <c r="F881" t="s">
        <v>23</v>
      </c>
      <c r="G881" t="s">
        <v>31</v>
      </c>
      <c r="H881" t="s">
        <v>12</v>
      </c>
      <c r="I881">
        <v>113.05</v>
      </c>
      <c r="J881" s="8">
        <f t="shared" si="188"/>
        <v>1.3719512195121962E-2</v>
      </c>
      <c r="K881" s="8">
        <f t="shared" si="189"/>
        <v>1.8003467921724057</v>
      </c>
      <c r="L881" s="6">
        <f t="shared" si="181"/>
        <v>1.3319512195121962E-2</v>
      </c>
      <c r="M881">
        <f t="shared" si="184"/>
        <v>0.53326691729613707</v>
      </c>
      <c r="N881" s="15">
        <v>4.0000000000000002E-4</v>
      </c>
      <c r="O881" s="8">
        <f>(I881 - MAX(I842:I881)) / MAX(I842:I881)</f>
        <v>-2.9985007496252177E-3</v>
      </c>
      <c r="P881" s="15">
        <v>5.21E-2</v>
      </c>
      <c r="Q881">
        <f t="shared" si="185"/>
        <v>0.57956982917572752</v>
      </c>
      <c r="R881">
        <f t="shared" si="186"/>
        <v>2.8489455542773306E-2</v>
      </c>
      <c r="S881" s="15">
        <f t="shared" si="187"/>
        <v>5.298557496780288E-2</v>
      </c>
    </row>
    <row r="882" spans="1:19" x14ac:dyDescent="0.3">
      <c r="A882" s="2">
        <v>43221</v>
      </c>
      <c r="B882">
        <v>2018</v>
      </c>
      <c r="C882">
        <v>5</v>
      </c>
      <c r="D882" t="s">
        <v>55</v>
      </c>
      <c r="E882" t="s">
        <v>28</v>
      </c>
      <c r="F882" t="s">
        <v>23</v>
      </c>
      <c r="G882" t="s">
        <v>31</v>
      </c>
      <c r="H882" t="s">
        <v>12</v>
      </c>
      <c r="I882">
        <v>111.16</v>
      </c>
      <c r="J882" s="8">
        <f t="shared" si="188"/>
        <v>-1.6718266253869976E-2</v>
      </c>
      <c r="K882" s="8">
        <f t="shared" si="189"/>
        <v>1.7535298488976969</v>
      </c>
      <c r="L882" s="6">
        <f t="shared" si="181"/>
        <v>-1.7093266253869976E-2</v>
      </c>
      <c r="M882">
        <f t="shared" si="184"/>
        <v>0.36833126043152503</v>
      </c>
      <c r="N882" s="15">
        <v>3.7500000000000001E-4</v>
      </c>
      <c r="O882" s="8">
        <f>(I882 - MAX(I842:I882)) / MAX(I842:I882)</f>
        <v>-1.966663726960053E-2</v>
      </c>
      <c r="P882" s="15">
        <v>-3.6700000000000003E-2</v>
      </c>
      <c r="Q882">
        <f t="shared" si="185"/>
        <v>0.63227317020636165</v>
      </c>
      <c r="R882">
        <f t="shared" si="186"/>
        <v>1.8935024759939075E-2</v>
      </c>
      <c r="S882" s="15">
        <f t="shared" si="187"/>
        <v>4.5651303239410253E-2</v>
      </c>
    </row>
    <row r="883" spans="1:19" x14ac:dyDescent="0.3">
      <c r="A883" s="2">
        <v>43252</v>
      </c>
      <c r="B883">
        <v>2018</v>
      </c>
      <c r="C883">
        <v>6</v>
      </c>
      <c r="D883" t="s">
        <v>55</v>
      </c>
      <c r="E883" t="s">
        <v>28</v>
      </c>
      <c r="F883" t="s">
        <v>23</v>
      </c>
      <c r="G883" t="s">
        <v>31</v>
      </c>
      <c r="H883" t="s">
        <v>12</v>
      </c>
      <c r="I883">
        <v>111.49</v>
      </c>
      <c r="J883" s="8">
        <f t="shared" si="188"/>
        <v>2.9686937747390994E-3</v>
      </c>
      <c r="K883" s="8">
        <f t="shared" si="189"/>
        <v>1.7617042358186779</v>
      </c>
      <c r="L883" s="6">
        <f t="shared" si="181"/>
        <v>2.6956937747390991E-3</v>
      </c>
      <c r="M883">
        <f t="shared" si="184"/>
        <v>0.40648347363934451</v>
      </c>
      <c r="N883" s="15">
        <v>2.7300000000000002E-4</v>
      </c>
      <c r="O883" s="8">
        <f>(I883 - MAX(I842:I883)) / MAX(I842:I883)</f>
        <v>-1.6756327718493745E-2</v>
      </c>
      <c r="P883" s="15">
        <v>-3.2000000000000002E-3</v>
      </c>
      <c r="Q883">
        <f t="shared" si="185"/>
        <v>0.60050642453927949</v>
      </c>
      <c r="R883">
        <f t="shared" si="186"/>
        <v>1.8821010709852259E-2</v>
      </c>
      <c r="S883" s="15">
        <f t="shared" si="187"/>
        <v>4.4848840701181295E-2</v>
      </c>
    </row>
    <row r="884" spans="1:19" x14ac:dyDescent="0.3">
      <c r="A884" s="2">
        <v>43282</v>
      </c>
      <c r="B884">
        <v>2018</v>
      </c>
      <c r="C884">
        <v>7</v>
      </c>
      <c r="D884" t="s">
        <v>55</v>
      </c>
      <c r="E884" t="s">
        <v>28</v>
      </c>
      <c r="F884" t="s">
        <v>23</v>
      </c>
      <c r="G884" t="s">
        <v>31</v>
      </c>
      <c r="H884" t="s">
        <v>12</v>
      </c>
      <c r="I884">
        <v>112.57</v>
      </c>
      <c r="J884" s="8">
        <f t="shared" si="188"/>
        <v>9.6869674410260866E-3</v>
      </c>
      <c r="K884" s="8">
        <f t="shared" si="189"/>
        <v>1.7884567748327971</v>
      </c>
      <c r="L884" s="6">
        <f t="shared" si="181"/>
        <v>9.4579674410260866E-3</v>
      </c>
      <c r="M884">
        <f t="shared" si="184"/>
        <v>0.34708736060634388</v>
      </c>
      <c r="N884" s="15">
        <v>2.2900000000000001E-4</v>
      </c>
      <c r="O884" s="8">
        <f>(I884 - MAX(I842:I884)) / MAX(I842:I884)</f>
        <v>-7.2316782785078705E-3</v>
      </c>
      <c r="P884" s="15">
        <v>3.8300000000000001E-2</v>
      </c>
      <c r="Q884">
        <f t="shared" si="185"/>
        <v>0.51215314042787463</v>
      </c>
      <c r="R884">
        <f t="shared" si="186"/>
        <v>1.4270045285550995E-2</v>
      </c>
      <c r="S884" s="15">
        <f t="shared" si="187"/>
        <v>4.4119812499469599E-2</v>
      </c>
    </row>
    <row r="885" spans="1:19" x14ac:dyDescent="0.3">
      <c r="A885" s="2">
        <v>43313</v>
      </c>
      <c r="B885">
        <v>2018</v>
      </c>
      <c r="C885">
        <v>8</v>
      </c>
      <c r="D885" t="s">
        <v>55</v>
      </c>
      <c r="E885" t="s">
        <v>28</v>
      </c>
      <c r="F885" t="s">
        <v>23</v>
      </c>
      <c r="G885" t="s">
        <v>31</v>
      </c>
      <c r="H885" t="s">
        <v>12</v>
      </c>
      <c r="I885">
        <v>124.58</v>
      </c>
      <c r="J885" s="8">
        <f t="shared" si="188"/>
        <v>0.10668917118237546</v>
      </c>
      <c r="K885" s="8">
        <f t="shared" si="189"/>
        <v>2.0859549170175877</v>
      </c>
      <c r="L885" s="6">
        <f t="shared" si="181"/>
        <v>0.10644717118237546</v>
      </c>
      <c r="M885">
        <f t="shared" ref="M885:M916" si="190">(AVERAGE(J874:J885)-AVERAGE(N874:N885))/STDEV(J874:J885)</f>
        <v>0.4527069447628555</v>
      </c>
      <c r="N885" s="15">
        <v>2.42E-4</v>
      </c>
      <c r="O885" s="8">
        <f>(I885 - MAX(I842:I885)) / MAX(I842:I885)</f>
        <v>0</v>
      </c>
      <c r="P885" s="15">
        <v>-3.7599999999999988E-2</v>
      </c>
      <c r="Q885">
        <f t="shared" ref="Q885:Q916" si="191" xml:space="preserve"> _xlfn.COVARIANCE.P(J874:J885, P874:P885) / _xlfn.VAR.P(P874:P885)</f>
        <v>0.22430323931298765</v>
      </c>
      <c r="R885">
        <f t="shared" ref="R885:R916" si="192">AVERAGE(J874:J885)-(AVERAGE(N874:N885)+Q885*(AVERAGE(P874:P885)-AVERAGE(N874:N885)))</f>
        <v>2.3312602525477302E-2</v>
      </c>
      <c r="S885" s="15">
        <f t="shared" ref="S885:S916" si="193">STDEV(J874:J885)</f>
        <v>5.1289277241012794E-2</v>
      </c>
    </row>
    <row r="886" spans="1:19" x14ac:dyDescent="0.3">
      <c r="A886" s="2">
        <v>43344</v>
      </c>
      <c r="B886">
        <v>2018</v>
      </c>
      <c r="C886">
        <v>9</v>
      </c>
      <c r="D886" t="s">
        <v>55</v>
      </c>
      <c r="E886" t="s">
        <v>28</v>
      </c>
      <c r="F886" t="s">
        <v>23</v>
      </c>
      <c r="G886" t="s">
        <v>31</v>
      </c>
      <c r="H886" t="s">
        <v>12</v>
      </c>
      <c r="I886">
        <v>127.4</v>
      </c>
      <c r="J886" s="8">
        <f t="shared" si="188"/>
        <v>2.2636057152030882E-2</v>
      </c>
      <c r="K886" s="8">
        <f t="shared" si="189"/>
        <v>2.1558087688877889</v>
      </c>
      <c r="L886" s="6">
        <f t="shared" si="181"/>
        <v>2.2327057152030882E-2</v>
      </c>
      <c r="M886">
        <f t="shared" si="190"/>
        <v>0.50489980033004611</v>
      </c>
      <c r="N886" s="15">
        <v>3.0899999999999998E-4</v>
      </c>
      <c r="O886" s="8">
        <f>(I886 - MAX(I842:I886)) / MAX(I842:I886)</f>
        <v>0</v>
      </c>
      <c r="P886" s="15">
        <v>1.9E-3</v>
      </c>
      <c r="Q886">
        <f t="shared" si="191"/>
        <v>0.40974334688161596</v>
      </c>
      <c r="R886">
        <f t="shared" si="192"/>
        <v>2.7343059551897909E-2</v>
      </c>
      <c r="S886" s="15">
        <f t="shared" si="193"/>
        <v>5.0515214320760601E-2</v>
      </c>
    </row>
    <row r="887" spans="1:19" x14ac:dyDescent="0.3">
      <c r="A887" s="2">
        <v>43374</v>
      </c>
      <c r="B887">
        <v>2018</v>
      </c>
      <c r="C887">
        <v>10</v>
      </c>
      <c r="D887" t="s">
        <v>55</v>
      </c>
      <c r="E887" t="s">
        <v>28</v>
      </c>
      <c r="F887" t="s">
        <v>23</v>
      </c>
      <c r="G887" t="s">
        <v>31</v>
      </c>
      <c r="H887" t="s">
        <v>12</v>
      </c>
      <c r="I887">
        <v>114.23</v>
      </c>
      <c r="J887" s="8">
        <f t="shared" si="188"/>
        <v>-0.10337519623233909</v>
      </c>
      <c r="K887" s="8">
        <f t="shared" si="189"/>
        <v>1.8295764181322776</v>
      </c>
      <c r="L887" s="6">
        <f t="shared" si="181"/>
        <v>-0.10370819623233909</v>
      </c>
      <c r="M887">
        <f t="shared" si="190"/>
        <v>0.15654547088202161</v>
      </c>
      <c r="N887" s="15">
        <v>3.3300000000000002E-4</v>
      </c>
      <c r="O887" s="8">
        <f>(I887 - MAX(I842:I887)) / MAX(I842:I887)</f>
        <v>-0.10337519623233909</v>
      </c>
      <c r="P887" s="15">
        <v>-5.9299999999999999E-2</v>
      </c>
      <c r="Q887">
        <f t="shared" si="191"/>
        <v>0.66215566153210603</v>
      </c>
      <c r="R887">
        <f t="shared" si="192"/>
        <v>1.6341949333146914E-2</v>
      </c>
      <c r="S887" s="15">
        <f t="shared" si="193"/>
        <v>5.7916169346705383E-2</v>
      </c>
    </row>
    <row r="888" spans="1:19" x14ac:dyDescent="0.3">
      <c r="A888" s="2">
        <v>43405</v>
      </c>
      <c r="B888">
        <v>2018</v>
      </c>
      <c r="C888">
        <v>11</v>
      </c>
      <c r="D888" t="s">
        <v>55</v>
      </c>
      <c r="E888" t="s">
        <v>28</v>
      </c>
      <c r="F888" t="s">
        <v>23</v>
      </c>
      <c r="G888" t="s">
        <v>31</v>
      </c>
      <c r="H888" t="s">
        <v>12</v>
      </c>
      <c r="I888">
        <v>111.81</v>
      </c>
      <c r="J888" s="8">
        <f t="shared" si="188"/>
        <v>-2.1185327847325585E-2</v>
      </c>
      <c r="K888" s="8">
        <f t="shared" si="189"/>
        <v>1.7696309140450839</v>
      </c>
      <c r="L888" s="6">
        <f t="shared" si="181"/>
        <v>-2.1447327847325583E-2</v>
      </c>
      <c r="M888">
        <f t="shared" si="190"/>
        <v>0.17498395140958672</v>
      </c>
      <c r="N888" s="15">
        <v>2.6200000000000003E-4</v>
      </c>
      <c r="O888" s="8">
        <f>(I888 - MAX(I842:I888)) / MAX(I842:I888)</f>
        <v>-0.12237048665620097</v>
      </c>
      <c r="P888" s="15">
        <v>-7.6E-3</v>
      </c>
      <c r="Q888">
        <f t="shared" si="191"/>
        <v>0.6199143705608795</v>
      </c>
      <c r="R888">
        <f t="shared" si="192"/>
        <v>1.5920665766474589E-2</v>
      </c>
      <c r="S888" s="15">
        <f t="shared" si="193"/>
        <v>5.725271366356257E-2</v>
      </c>
    </row>
    <row r="889" spans="1:19" x14ac:dyDescent="0.3">
      <c r="A889" s="2">
        <v>43435</v>
      </c>
      <c r="B889">
        <v>2018</v>
      </c>
      <c r="C889">
        <v>12</v>
      </c>
      <c r="D889" t="s">
        <v>55</v>
      </c>
      <c r="E889" t="s">
        <v>28</v>
      </c>
      <c r="F889" t="s">
        <v>23</v>
      </c>
      <c r="G889" t="s">
        <v>31</v>
      </c>
      <c r="H889" t="s">
        <v>12</v>
      </c>
      <c r="I889">
        <v>103.13</v>
      </c>
      <c r="J889" s="8">
        <f t="shared" si="188"/>
        <v>-7.7631696628208624E-2</v>
      </c>
      <c r="K889" s="8">
        <f t="shared" si="189"/>
        <v>1.5546197671538278</v>
      </c>
      <c r="L889" s="6">
        <f t="shared" si="181"/>
        <v>-7.7787696628208627E-2</v>
      </c>
      <c r="M889">
        <f t="shared" si="190"/>
        <v>6.1017316443080824E-2</v>
      </c>
      <c r="N889" s="15">
        <v>1.56E-4</v>
      </c>
      <c r="O889" s="8">
        <f>(I889 - MAX(I842:I889)) / MAX(I842:I889)</f>
        <v>-0.19050235478806915</v>
      </c>
      <c r="P889" s="15">
        <v>-5.8799999999999998E-2</v>
      </c>
      <c r="Q889">
        <f t="shared" si="191"/>
        <v>0.78516796585329174</v>
      </c>
      <c r="R889">
        <f t="shared" si="192"/>
        <v>1.392844505264787E-2</v>
      </c>
      <c r="S889" s="15">
        <f t="shared" si="193"/>
        <v>6.2634072079347833E-2</v>
      </c>
    </row>
    <row r="890" spans="1:19" x14ac:dyDescent="0.3">
      <c r="A890" s="2">
        <v>43466</v>
      </c>
      <c r="B890">
        <v>2019</v>
      </c>
      <c r="C890">
        <v>1</v>
      </c>
      <c r="D890" t="s">
        <v>55</v>
      </c>
      <c r="E890" t="s">
        <v>28</v>
      </c>
      <c r="F890" t="s">
        <v>23</v>
      </c>
      <c r="G890" t="s">
        <v>31</v>
      </c>
      <c r="H890" t="s">
        <v>12</v>
      </c>
      <c r="I890">
        <v>112.28</v>
      </c>
      <c r="J890" s="8">
        <f t="shared" si="188"/>
        <v>8.8722971007466359E-2</v>
      </c>
      <c r="K890" s="8">
        <f t="shared" si="189"/>
        <v>1.7812732226901176</v>
      </c>
      <c r="L890" s="6">
        <f t="shared" si="181"/>
        <v>8.8611971007466359E-2</v>
      </c>
      <c r="M890">
        <f t="shared" si="190"/>
        <v>2.8018985309487175E-2</v>
      </c>
      <c r="N890" s="15">
        <v>1.11E-4</v>
      </c>
      <c r="O890" s="8">
        <f>(I890 - MAX(I842:I890)) / MAX(I842:I890)</f>
        <v>-0.11868131868131872</v>
      </c>
      <c r="P890" s="15">
        <v>5.79E-2</v>
      </c>
      <c r="Q890">
        <f t="shared" si="191"/>
        <v>0.72505348588839558</v>
      </c>
      <c r="R890">
        <f t="shared" si="192"/>
        <v>9.2813902829769462E-3</v>
      </c>
      <c r="S890" s="15">
        <f t="shared" si="193"/>
        <v>5.8723349040714315E-2</v>
      </c>
    </row>
    <row r="891" spans="1:19" x14ac:dyDescent="0.3">
      <c r="A891" s="2">
        <v>43497</v>
      </c>
      <c r="B891">
        <v>2019</v>
      </c>
      <c r="C891">
        <v>2</v>
      </c>
      <c r="D891" t="s">
        <v>55</v>
      </c>
      <c r="E891" t="s">
        <v>28</v>
      </c>
      <c r="F891" t="s">
        <v>23</v>
      </c>
      <c r="G891" t="s">
        <v>31</v>
      </c>
      <c r="H891" t="s">
        <v>12</v>
      </c>
      <c r="I891">
        <v>130.38</v>
      </c>
      <c r="J891" s="8">
        <f t="shared" si="188"/>
        <v>0.16120413252582824</v>
      </c>
      <c r="K891" s="8">
        <f t="shared" si="189"/>
        <v>2.2296259598711927</v>
      </c>
      <c r="L891" s="6">
        <f t="shared" si="181"/>
        <v>0.16115813252582825</v>
      </c>
      <c r="M891">
        <f t="shared" si="190"/>
        <v>0.18641218806231824</v>
      </c>
      <c r="N891" s="15">
        <v>4.6E-5</v>
      </c>
      <c r="O891" s="8">
        <f>(I891 - MAX(I842:I891)) / MAX(I842:I891)</f>
        <v>0</v>
      </c>
      <c r="P891" s="15">
        <v>4.3899999999999988E-2</v>
      </c>
      <c r="Q891">
        <f t="shared" si="191"/>
        <v>1.0975286871695307</v>
      </c>
      <c r="R891">
        <f t="shared" si="192"/>
        <v>1.7101418278966749E-2</v>
      </c>
      <c r="S891" s="15">
        <f t="shared" si="193"/>
        <v>7.4676923368185488E-2</v>
      </c>
    </row>
    <row r="892" spans="1:19" x14ac:dyDescent="0.3">
      <c r="A892" s="2">
        <v>43525</v>
      </c>
      <c r="B892">
        <v>2019</v>
      </c>
      <c r="C892">
        <v>3</v>
      </c>
      <c r="D892" t="s">
        <v>55</v>
      </c>
      <c r="E892" t="s">
        <v>28</v>
      </c>
      <c r="F892" t="s">
        <v>23</v>
      </c>
      <c r="G892" t="s">
        <v>31</v>
      </c>
      <c r="H892" t="s">
        <v>12</v>
      </c>
      <c r="I892">
        <v>136.52000000000001</v>
      </c>
      <c r="J892" s="8">
        <f t="shared" si="188"/>
        <v>4.7093112440558485E-2</v>
      </c>
      <c r="K892" s="8">
        <f t="shared" si="189"/>
        <v>2.3817190983403536</v>
      </c>
      <c r="L892" s="6">
        <f t="shared" si="181"/>
        <v>4.7084112440558483E-2</v>
      </c>
      <c r="M892">
        <f t="shared" si="190"/>
        <v>0.25826078245200917</v>
      </c>
      <c r="N892" s="15">
        <v>9.0000000000000002E-6</v>
      </c>
      <c r="O892" s="8">
        <f>(I892 - MAX(I842:I892)) / MAX(I842:I892)</f>
        <v>0</v>
      </c>
      <c r="P892" s="15">
        <v>1.6199999999999999E-2</v>
      </c>
      <c r="Q892">
        <f t="shared" si="191"/>
        <v>1.0968176327672683</v>
      </c>
      <c r="R892">
        <f t="shared" si="192"/>
        <v>1.8857374163891823E-2</v>
      </c>
      <c r="S892" s="15">
        <f t="shared" si="193"/>
        <v>7.4558078002784064E-2</v>
      </c>
    </row>
    <row r="893" spans="1:19" x14ac:dyDescent="0.3">
      <c r="A893" s="2">
        <v>43556</v>
      </c>
      <c r="B893">
        <v>2019</v>
      </c>
      <c r="C893">
        <v>4</v>
      </c>
      <c r="D893" t="s">
        <v>55</v>
      </c>
      <c r="E893" t="s">
        <v>28</v>
      </c>
      <c r="F893" t="s">
        <v>23</v>
      </c>
      <c r="G893" t="s">
        <v>31</v>
      </c>
      <c r="H893" t="s">
        <v>12</v>
      </c>
      <c r="I893">
        <v>146.07</v>
      </c>
      <c r="J893" s="8">
        <f t="shared" si="188"/>
        <v>6.9953120421916079E-2</v>
      </c>
      <c r="K893" s="8">
        <f t="shared" si="189"/>
        <v>2.61828090165965</v>
      </c>
      <c r="L893" s="6">
        <f t="shared" si="181"/>
        <v>6.9986120421916084E-2</v>
      </c>
      <c r="M893">
        <f t="shared" si="190"/>
        <v>0.3158376636592703</v>
      </c>
      <c r="N893" s="15">
        <v>-3.3000000000000003E-5</v>
      </c>
      <c r="O893" s="8">
        <f>(I893 - MAX(I842:I893)) / MAX(I842:I893)</f>
        <v>0</v>
      </c>
      <c r="P893" s="15">
        <v>4.8599999999999997E-2</v>
      </c>
      <c r="Q893">
        <f t="shared" si="191"/>
        <v>1.2594900744826003</v>
      </c>
      <c r="R893">
        <f t="shared" si="192"/>
        <v>2.3842459647355319E-2</v>
      </c>
      <c r="S893" s="15">
        <f t="shared" si="193"/>
        <v>7.5917623748690002E-2</v>
      </c>
    </row>
    <row r="894" spans="1:19" x14ac:dyDescent="0.3">
      <c r="A894" s="2">
        <v>43586</v>
      </c>
      <c r="B894">
        <v>2019</v>
      </c>
      <c r="C894">
        <v>5</v>
      </c>
      <c r="D894" t="s">
        <v>55</v>
      </c>
      <c r="E894" t="s">
        <v>28</v>
      </c>
      <c r="F894" t="s">
        <v>23</v>
      </c>
      <c r="G894" t="s">
        <v>31</v>
      </c>
      <c r="H894" t="s">
        <v>12</v>
      </c>
      <c r="I894">
        <v>154.04</v>
      </c>
      <c r="J894" s="8">
        <f t="shared" si="188"/>
        <v>5.4562880810570272E-2</v>
      </c>
      <c r="K894" s="8">
        <f t="shared" si="189"/>
        <v>2.8157047312360683</v>
      </c>
      <c r="L894" s="6">
        <f t="shared" si="181"/>
        <v>5.4674880810570273E-2</v>
      </c>
      <c r="M894">
        <f t="shared" si="190"/>
        <v>0.39831372267345233</v>
      </c>
      <c r="N894" s="15">
        <v>-1.12E-4</v>
      </c>
      <c r="O894" s="8">
        <f>(I894 - MAX(I842:I894)) / MAX(I842:I894)</f>
        <v>0</v>
      </c>
      <c r="P894" s="15">
        <v>-6.6600000000000006E-2</v>
      </c>
      <c r="Q894">
        <f t="shared" si="191"/>
        <v>0.93584989977719535</v>
      </c>
      <c r="R894">
        <f t="shared" si="192"/>
        <v>3.2151722039989276E-2</v>
      </c>
      <c r="S894" s="15">
        <f t="shared" si="193"/>
        <v>7.521288404604394E-2</v>
      </c>
    </row>
    <row r="895" spans="1:19" x14ac:dyDescent="0.3">
      <c r="A895" s="2">
        <v>43617</v>
      </c>
      <c r="B895">
        <v>2019</v>
      </c>
      <c r="C895">
        <v>6</v>
      </c>
      <c r="D895" t="s">
        <v>55</v>
      </c>
      <c r="E895" t="s">
        <v>28</v>
      </c>
      <c r="F895" t="s">
        <v>23</v>
      </c>
      <c r="G895" t="s">
        <v>31</v>
      </c>
      <c r="H895" t="s">
        <v>12</v>
      </c>
      <c r="I895">
        <v>160.13</v>
      </c>
      <c r="J895" s="8">
        <f t="shared" si="188"/>
        <v>3.953518566606079E-2</v>
      </c>
      <c r="K895" s="8">
        <f t="shared" si="189"/>
        <v>2.9665593262323533</v>
      </c>
      <c r="L895" s="6">
        <f t="shared" si="181"/>
        <v>3.979818566606079E-2</v>
      </c>
      <c r="M895">
        <f t="shared" si="190"/>
        <v>0.44212766150112409</v>
      </c>
      <c r="N895" s="15">
        <v>-2.63E-4</v>
      </c>
      <c r="O895" s="8">
        <f>(I895 - MAX(I842:I895)) / MAX(I842:I895)</f>
        <v>0</v>
      </c>
      <c r="P895" s="15">
        <v>5.8899999999999987E-2</v>
      </c>
      <c r="Q895">
        <f t="shared" si="191"/>
        <v>0.82530656806331426</v>
      </c>
      <c r="R895">
        <f t="shared" si="192"/>
        <v>3.0676685247460523E-2</v>
      </c>
      <c r="S895" s="15">
        <f t="shared" si="193"/>
        <v>7.4752613418147887E-2</v>
      </c>
    </row>
    <row r="896" spans="1:19" x14ac:dyDescent="0.3">
      <c r="A896" s="2">
        <v>43647</v>
      </c>
      <c r="B896">
        <v>2019</v>
      </c>
      <c r="C896">
        <v>7</v>
      </c>
      <c r="D896" t="s">
        <v>55</v>
      </c>
      <c r="E896" t="s">
        <v>28</v>
      </c>
      <c r="F896" t="s">
        <v>23</v>
      </c>
      <c r="G896" t="s">
        <v>31</v>
      </c>
      <c r="H896" t="s">
        <v>12</v>
      </c>
      <c r="I896">
        <v>167.92</v>
      </c>
      <c r="J896" s="8">
        <f t="shared" si="188"/>
        <v>4.8647973521513725E-2</v>
      </c>
      <c r="K896" s="8">
        <f t="shared" si="189"/>
        <v>3.1595243993064184</v>
      </c>
      <c r="L896" s="6">
        <f t="shared" si="181"/>
        <v>4.8971973521513723E-2</v>
      </c>
      <c r="M896">
        <f t="shared" si="190"/>
        <v>0.4879165730487407</v>
      </c>
      <c r="N896" s="15">
        <v>-3.2400000000000001E-4</v>
      </c>
      <c r="O896" s="8">
        <f>(I896 - MAX(I842:I896)) / MAX(I842:I896)</f>
        <v>0</v>
      </c>
      <c r="P896" s="15">
        <v>-2E-3</v>
      </c>
      <c r="Q896">
        <f t="shared" si="191"/>
        <v>0.90787548706887533</v>
      </c>
      <c r="R896">
        <f t="shared" si="192"/>
        <v>3.6739168339228301E-2</v>
      </c>
      <c r="S896" s="15">
        <f t="shared" si="193"/>
        <v>7.4486160153599476E-2</v>
      </c>
    </row>
    <row r="897" spans="1:19" x14ac:dyDescent="0.3">
      <c r="A897" s="2">
        <v>43678</v>
      </c>
      <c r="B897">
        <v>2019</v>
      </c>
      <c r="C897">
        <v>8</v>
      </c>
      <c r="D897" t="s">
        <v>55</v>
      </c>
      <c r="E897" t="s">
        <v>28</v>
      </c>
      <c r="F897" t="s">
        <v>23</v>
      </c>
      <c r="G897" t="s">
        <v>31</v>
      </c>
      <c r="H897" t="s">
        <v>12</v>
      </c>
      <c r="I897">
        <v>165.98</v>
      </c>
      <c r="J897" s="8">
        <f t="shared" si="188"/>
        <v>-1.155312053358741E-2</v>
      </c>
      <c r="K897" s="8">
        <f t="shared" si="189"/>
        <v>3.1114689125588333</v>
      </c>
      <c r="L897" s="6">
        <f t="shared" si="181"/>
        <v>-1.1012120533587411E-2</v>
      </c>
      <c r="M897">
        <f t="shared" si="190"/>
        <v>0.36816800442703734</v>
      </c>
      <c r="N897" s="15">
        <v>-5.4100000000000003E-4</v>
      </c>
      <c r="O897" s="8">
        <f>(I897 - MAX(I842:I897)) / MAX(I842:I897)</f>
        <v>-1.155312053358741E-2</v>
      </c>
      <c r="P897" s="15">
        <v>-1.1599999999999999E-2</v>
      </c>
      <c r="Q897">
        <f t="shared" si="191"/>
        <v>1.1086092206805098</v>
      </c>
      <c r="R897">
        <f t="shared" si="192"/>
        <v>2.4564157452206768E-2</v>
      </c>
      <c r="S897" s="15">
        <f t="shared" si="193"/>
        <v>7.2126739349244295E-2</v>
      </c>
    </row>
    <row r="898" spans="1:19" x14ac:dyDescent="0.3">
      <c r="A898" s="2">
        <v>43709</v>
      </c>
      <c r="B898">
        <v>2019</v>
      </c>
      <c r="C898">
        <v>9</v>
      </c>
      <c r="D898" t="s">
        <v>55</v>
      </c>
      <c r="E898" t="s">
        <v>28</v>
      </c>
      <c r="F898" t="s">
        <v>23</v>
      </c>
      <c r="G898" t="s">
        <v>31</v>
      </c>
      <c r="H898" t="s">
        <v>12</v>
      </c>
      <c r="I898">
        <v>159</v>
      </c>
      <c r="J898" s="8">
        <f t="shared" si="188"/>
        <v>-4.2053259428846787E-2</v>
      </c>
      <c r="K898" s="8">
        <f t="shared" si="189"/>
        <v>2.9385682437453582</v>
      </c>
      <c r="L898" s="6">
        <f t="shared" ref="L898:L961" si="194">J898-N898</f>
        <v>-4.1557259428846784E-2</v>
      </c>
      <c r="M898">
        <f t="shared" si="190"/>
        <v>0.28378713066855776</v>
      </c>
      <c r="N898" s="15">
        <v>-4.9600000000000002E-4</v>
      </c>
      <c r="O898" s="8">
        <f>(I898 - MAX(I842:I898)) / MAX(I842:I898)</f>
        <v>-5.3120533587422511E-2</v>
      </c>
      <c r="P898" s="15">
        <v>4.1599999999999998E-2</v>
      </c>
      <c r="Q898">
        <f t="shared" si="191"/>
        <v>0.9394206360524755</v>
      </c>
      <c r="R898">
        <f t="shared" si="192"/>
        <v>1.6373320534606522E-2</v>
      </c>
      <c r="S898" s="15">
        <f t="shared" si="193"/>
        <v>7.4813345459382993E-2</v>
      </c>
    </row>
    <row r="899" spans="1:19" x14ac:dyDescent="0.3">
      <c r="A899" s="2">
        <v>43739</v>
      </c>
      <c r="B899">
        <v>2019</v>
      </c>
      <c r="C899">
        <v>10</v>
      </c>
      <c r="D899" t="s">
        <v>55</v>
      </c>
      <c r="E899" t="s">
        <v>28</v>
      </c>
      <c r="F899" t="s">
        <v>23</v>
      </c>
      <c r="G899" t="s">
        <v>31</v>
      </c>
      <c r="H899" t="s">
        <v>12</v>
      </c>
      <c r="I899">
        <v>169.18</v>
      </c>
      <c r="J899" s="8">
        <f t="shared" si="188"/>
        <v>6.4025157232704452E-2</v>
      </c>
      <c r="K899" s="8">
        <f t="shared" si="189"/>
        <v>3.1907356948228909</v>
      </c>
      <c r="L899" s="6">
        <f t="shared" si="194"/>
        <v>6.4416157232704455E-2</v>
      </c>
      <c r="M899">
        <f t="shared" si="190"/>
        <v>0.54758981563598952</v>
      </c>
      <c r="N899" s="15">
        <v>-3.9100000000000002E-4</v>
      </c>
      <c r="O899" s="8">
        <f>(I899 - MAX(I842:I899)) / MAX(I842:I899)</f>
        <v>0</v>
      </c>
      <c r="P899" s="15">
        <v>9.7999999999999997E-3</v>
      </c>
      <c r="Q899">
        <f t="shared" si="191"/>
        <v>0.71131751853667269</v>
      </c>
      <c r="R899">
        <f t="shared" si="192"/>
        <v>2.7424285009508984E-2</v>
      </c>
      <c r="S899" s="15">
        <f t="shared" si="193"/>
        <v>6.4357346367840865E-2</v>
      </c>
    </row>
    <row r="900" spans="1:19" x14ac:dyDescent="0.3">
      <c r="A900" s="2">
        <v>43770</v>
      </c>
      <c r="B900">
        <v>2019</v>
      </c>
      <c r="C900">
        <v>11</v>
      </c>
      <c r="D900" t="s">
        <v>55</v>
      </c>
      <c r="E900" t="s">
        <v>28</v>
      </c>
      <c r="F900" t="s">
        <v>23</v>
      </c>
      <c r="G900" t="s">
        <v>31</v>
      </c>
      <c r="H900" t="s">
        <v>12</v>
      </c>
      <c r="I900">
        <v>181.1</v>
      </c>
      <c r="J900" s="8">
        <f t="shared" si="188"/>
        <v>7.0457500886629554E-2</v>
      </c>
      <c r="K900" s="8">
        <f t="shared" si="189"/>
        <v>3.4860044587565042</v>
      </c>
      <c r="L900" s="6">
        <f t="shared" si="194"/>
        <v>7.0751500886629556E-2</v>
      </c>
      <c r="M900">
        <f t="shared" si="190"/>
        <v>0.68701692509525136</v>
      </c>
      <c r="N900" s="15">
        <v>-2.9399999999999999E-4</v>
      </c>
      <c r="O900" s="8">
        <f>(I900 - MAX(I842:I900)) / MAX(I842:I900)</f>
        <v>0</v>
      </c>
      <c r="P900" s="15">
        <v>2.75E-2</v>
      </c>
      <c r="Q900">
        <f t="shared" si="191"/>
        <v>0.68084499055014736</v>
      </c>
      <c r="R900">
        <f t="shared" si="192"/>
        <v>3.3419386247146486E-2</v>
      </c>
      <c r="S900" s="15">
        <f t="shared" si="193"/>
        <v>6.2479775377099783E-2</v>
      </c>
    </row>
    <row r="901" spans="1:19" x14ac:dyDescent="0.3">
      <c r="A901" s="2">
        <v>43800</v>
      </c>
      <c r="B901">
        <v>2019</v>
      </c>
      <c r="C901">
        <v>12</v>
      </c>
      <c r="D901" t="s">
        <v>55</v>
      </c>
      <c r="E901" t="s">
        <v>28</v>
      </c>
      <c r="F901" t="s">
        <v>23</v>
      </c>
      <c r="G901" t="s">
        <v>31</v>
      </c>
      <c r="H901" t="s">
        <v>12</v>
      </c>
      <c r="I901">
        <v>182.56</v>
      </c>
      <c r="J901" s="8">
        <f t="shared" si="188"/>
        <v>8.0618442849255002E-3</v>
      </c>
      <c r="K901" s="8">
        <f t="shared" si="189"/>
        <v>3.5221699281644803</v>
      </c>
      <c r="L901" s="6">
        <f t="shared" si="194"/>
        <v>8.3118442849255004E-3</v>
      </c>
      <c r="M901">
        <f t="shared" si="190"/>
        <v>0.97504538465105783</v>
      </c>
      <c r="N901" s="15">
        <v>-2.5000000000000001E-4</v>
      </c>
      <c r="O901" s="8">
        <f>(I901 - MAX(I842:I901)) / MAX(I842:I901)</f>
        <v>0</v>
      </c>
      <c r="P901" s="15">
        <v>1.21E-2</v>
      </c>
      <c r="Q901">
        <f t="shared" si="191"/>
        <v>0.30182281660441784</v>
      </c>
      <c r="R901">
        <f t="shared" si="192"/>
        <v>4.4092395080297775E-2</v>
      </c>
      <c r="S901" s="15">
        <f t="shared" si="193"/>
        <v>5.1381838929382313E-2</v>
      </c>
    </row>
    <row r="902" spans="1:19" x14ac:dyDescent="0.3">
      <c r="A902" s="2">
        <v>43831</v>
      </c>
      <c r="B902">
        <v>2020</v>
      </c>
      <c r="C902">
        <v>1</v>
      </c>
      <c r="D902" t="s">
        <v>55</v>
      </c>
      <c r="E902" t="s">
        <v>28</v>
      </c>
      <c r="F902" t="s">
        <v>23</v>
      </c>
      <c r="G902" t="s">
        <v>31</v>
      </c>
      <c r="H902" t="s">
        <v>12</v>
      </c>
      <c r="I902">
        <v>195.45</v>
      </c>
      <c r="J902" s="8">
        <f t="shared" si="188"/>
        <v>7.0606923751095452E-2</v>
      </c>
      <c r="K902" s="8">
        <f t="shared" si="189"/>
        <v>3.8414664354718857</v>
      </c>
      <c r="L902" s="6">
        <f t="shared" si="194"/>
        <v>7.0867923751095449E-2</v>
      </c>
      <c r="M902">
        <f t="shared" si="190"/>
        <v>0.96482162478050515</v>
      </c>
      <c r="N902" s="15">
        <v>-2.61E-4</v>
      </c>
      <c r="O902" s="8">
        <f>(I902 - MAX(I842:I902)) / MAX(I842:I902)</f>
        <v>0</v>
      </c>
      <c r="P902" s="15">
        <v>-2.87E-2</v>
      </c>
      <c r="Q902">
        <f t="shared" si="191"/>
        <v>0.11312256766098135</v>
      </c>
      <c r="R902">
        <f t="shared" si="192"/>
        <v>4.7182318044052166E-2</v>
      </c>
      <c r="S902" s="15">
        <f t="shared" si="193"/>
        <v>5.039372361636469E-2</v>
      </c>
    </row>
    <row r="903" spans="1:19" x14ac:dyDescent="0.3">
      <c r="A903" s="2">
        <v>43862</v>
      </c>
      <c r="B903">
        <v>2020</v>
      </c>
      <c r="C903">
        <v>2</v>
      </c>
      <c r="D903" t="s">
        <v>55</v>
      </c>
      <c r="E903" t="s">
        <v>28</v>
      </c>
      <c r="F903" t="s">
        <v>23</v>
      </c>
      <c r="G903" t="s">
        <v>31</v>
      </c>
      <c r="H903" t="s">
        <v>12</v>
      </c>
      <c r="I903">
        <v>183.97</v>
      </c>
      <c r="J903" s="8">
        <f t="shared" si="188"/>
        <v>-5.8736249680225075E-2</v>
      </c>
      <c r="K903" s="8">
        <f t="shared" si="189"/>
        <v>3.55709685409958</v>
      </c>
      <c r="L903" s="6">
        <f t="shared" si="194"/>
        <v>-5.8348249680225076E-2</v>
      </c>
      <c r="M903">
        <f t="shared" si="190"/>
        <v>0.66840553636974076</v>
      </c>
      <c r="N903" s="15">
        <v>-3.88E-4</v>
      </c>
      <c r="O903" s="8">
        <f>(I903 - MAX(I842:I903)) / MAX(I842:I903)</f>
        <v>-5.8736249680225075E-2</v>
      </c>
      <c r="P903" s="15">
        <v>-8.5500000000000007E-2</v>
      </c>
      <c r="Q903">
        <f t="shared" si="191"/>
        <v>0.28808101679630443</v>
      </c>
      <c r="R903">
        <f t="shared" si="192"/>
        <v>2.9761140151015268E-2</v>
      </c>
      <c r="S903" s="15">
        <f t="shared" si="193"/>
        <v>4.5374782420013769E-2</v>
      </c>
    </row>
    <row r="904" spans="1:19" x14ac:dyDescent="0.3">
      <c r="A904" s="2">
        <v>43891</v>
      </c>
      <c r="B904">
        <v>2020</v>
      </c>
      <c r="C904">
        <v>3</v>
      </c>
      <c r="D904" t="s">
        <v>55</v>
      </c>
      <c r="E904" t="s">
        <v>28</v>
      </c>
      <c r="F904" t="s">
        <v>23</v>
      </c>
      <c r="G904" t="s">
        <v>31</v>
      </c>
      <c r="H904" t="s">
        <v>12</v>
      </c>
      <c r="I904">
        <v>144.22999999999999</v>
      </c>
      <c r="J904" s="8">
        <f t="shared" si="188"/>
        <v>-0.2160134804587705</v>
      </c>
      <c r="K904" s="8">
        <f t="shared" si="189"/>
        <v>2.5727025018578158</v>
      </c>
      <c r="L904" s="6">
        <f t="shared" si="194"/>
        <v>-0.21556248045877049</v>
      </c>
      <c r="M904">
        <f t="shared" si="190"/>
        <v>0.10080694888725328</v>
      </c>
      <c r="N904" s="15">
        <v>-4.5100000000000001E-4</v>
      </c>
      <c r="O904" s="8">
        <f>(I904 - MAX(I842:I904)) / MAX(I842:I904)</f>
        <v>-0.26206190841647481</v>
      </c>
      <c r="P904" s="15">
        <v>-0.16300000000000001</v>
      </c>
      <c r="Q904">
        <f t="shared" si="191"/>
        <v>0.93019684527049562</v>
      </c>
      <c r="R904">
        <f t="shared" si="192"/>
        <v>2.0464023865671574E-2</v>
      </c>
      <c r="S904" s="15">
        <f t="shared" si="193"/>
        <v>8.3739660800634663E-2</v>
      </c>
    </row>
    <row r="905" spans="1:19" x14ac:dyDescent="0.3">
      <c r="A905" s="2">
        <v>43922</v>
      </c>
      <c r="B905">
        <v>2020</v>
      </c>
      <c r="C905">
        <v>4</v>
      </c>
      <c r="D905" t="s">
        <v>55</v>
      </c>
      <c r="E905" t="s">
        <v>28</v>
      </c>
      <c r="F905" t="s">
        <v>23</v>
      </c>
      <c r="G905" t="s">
        <v>31</v>
      </c>
      <c r="H905" t="s">
        <v>12</v>
      </c>
      <c r="I905">
        <v>166.02</v>
      </c>
      <c r="J905" s="8">
        <f t="shared" si="188"/>
        <v>0.15107813908340859</v>
      </c>
      <c r="K905" s="8">
        <f t="shared" si="189"/>
        <v>3.1124597473371329</v>
      </c>
      <c r="L905" s="6">
        <f t="shared" si="194"/>
        <v>0.15145313908340857</v>
      </c>
      <c r="M905">
        <f t="shared" si="190"/>
        <v>0.16546303266399703</v>
      </c>
      <c r="N905" s="15">
        <v>-3.7500000000000001E-4</v>
      </c>
      <c r="O905" s="8">
        <f>(I905 - MAX(I842:I905)) / MAX(I842:I905)</f>
        <v>-0.15057559478127389</v>
      </c>
      <c r="P905" s="15">
        <v>5.0599999999999999E-2</v>
      </c>
      <c r="Q905">
        <f t="shared" si="191"/>
        <v>1.0401423884591183</v>
      </c>
      <c r="R905">
        <f t="shared" si="192"/>
        <v>2.8470950461846896E-2</v>
      </c>
      <c r="S905" s="15">
        <f t="shared" si="193"/>
        <v>9.2047496547973826E-2</v>
      </c>
    </row>
    <row r="906" spans="1:19" x14ac:dyDescent="0.3">
      <c r="A906" s="2">
        <v>43952</v>
      </c>
      <c r="B906">
        <v>2020</v>
      </c>
      <c r="C906">
        <v>5</v>
      </c>
      <c r="D906" t="s">
        <v>55</v>
      </c>
      <c r="E906" t="s">
        <v>28</v>
      </c>
      <c r="F906" t="s">
        <v>23</v>
      </c>
      <c r="G906" t="s">
        <v>31</v>
      </c>
      <c r="H906" t="s">
        <v>12</v>
      </c>
      <c r="I906">
        <v>179.49</v>
      </c>
      <c r="J906" s="8">
        <f t="shared" si="188"/>
        <v>8.1134803035778816E-2</v>
      </c>
      <c r="K906" s="8">
        <f t="shared" si="189"/>
        <v>3.4461233589299001</v>
      </c>
      <c r="L906" s="6">
        <f t="shared" si="194"/>
        <v>8.1564803035778816E-2</v>
      </c>
      <c r="M906">
        <f t="shared" si="190"/>
        <v>0.18706178088588027</v>
      </c>
      <c r="N906" s="15">
        <v>-4.2999999999999999E-4</v>
      </c>
      <c r="O906" s="8">
        <f>(I906 - MAX(I842:I906)) / MAX(I842:I906)</f>
        <v>-8.1657712970068977E-2</v>
      </c>
      <c r="P906" s="15">
        <v>4.1799999999999997E-2</v>
      </c>
      <c r="Q906">
        <f t="shared" si="191"/>
        <v>1.1815659944679087</v>
      </c>
      <c r="R906">
        <f t="shared" si="192"/>
        <v>2.1807238124422999E-2</v>
      </c>
      <c r="S906" s="15">
        <f t="shared" si="193"/>
        <v>9.3398473473936774E-2</v>
      </c>
    </row>
    <row r="907" spans="1:19" x14ac:dyDescent="0.3">
      <c r="A907" s="2">
        <v>43983</v>
      </c>
      <c r="B907">
        <v>2020</v>
      </c>
      <c r="C907">
        <v>6</v>
      </c>
      <c r="D907" t="s">
        <v>55</v>
      </c>
      <c r="E907" t="s">
        <v>28</v>
      </c>
      <c r="F907" t="s">
        <v>23</v>
      </c>
      <c r="G907" t="s">
        <v>31</v>
      </c>
      <c r="H907" t="s">
        <v>12</v>
      </c>
      <c r="I907">
        <v>169.62</v>
      </c>
      <c r="J907" s="8">
        <f t="shared" ref="J907:J938" si="195">(I907-I906)/I906</f>
        <v>-5.4989135885007541E-2</v>
      </c>
      <c r="K907" s="8">
        <f t="shared" ref="K907:K938" si="196">(K906+1)*(J907+1)-1</f>
        <v>3.2016348773841976</v>
      </c>
      <c r="L907" s="6">
        <f t="shared" si="194"/>
        <v>-5.462713588500754E-2</v>
      </c>
      <c r="M907">
        <f t="shared" si="190"/>
        <v>0.10075991470305803</v>
      </c>
      <c r="N907" s="15">
        <v>-3.6200000000000002E-4</v>
      </c>
      <c r="O907" s="8">
        <f>(I907 - MAX(I842:I907)) / MAX(I842:I907)</f>
        <v>-0.13215656178050644</v>
      </c>
      <c r="P907" s="15">
        <v>6.0299999999999999E-2</v>
      </c>
      <c r="Q907">
        <f t="shared" si="191"/>
        <v>1.0436919599359247</v>
      </c>
      <c r="R907">
        <f t="shared" si="192"/>
        <v>1.3302135059117773E-2</v>
      </c>
      <c r="S907" s="15">
        <f t="shared" si="193"/>
        <v>9.5300874484002207E-2</v>
      </c>
    </row>
    <row r="908" spans="1:19" x14ac:dyDescent="0.3">
      <c r="A908" s="2">
        <v>44013</v>
      </c>
      <c r="B908">
        <v>2020</v>
      </c>
      <c r="C908">
        <v>7</v>
      </c>
      <c r="D908" t="s">
        <v>55</v>
      </c>
      <c r="E908" t="s">
        <v>28</v>
      </c>
      <c r="F908" t="s">
        <v>23</v>
      </c>
      <c r="G908" t="s">
        <v>31</v>
      </c>
      <c r="H908" t="s">
        <v>12</v>
      </c>
      <c r="I908">
        <v>178.02</v>
      </c>
      <c r="J908" s="8">
        <f t="shared" si="195"/>
        <v>4.9522461973823872E-2</v>
      </c>
      <c r="K908" s="8">
        <f t="shared" si="196"/>
        <v>3.4097101808273491</v>
      </c>
      <c r="L908" s="6">
        <f t="shared" si="194"/>
        <v>4.9958461973823871E-2</v>
      </c>
      <c r="M908">
        <f t="shared" si="190"/>
        <v>0.1015871153550712</v>
      </c>
      <c r="N908" s="15">
        <v>-4.3600000000000003E-4</v>
      </c>
      <c r="O908" s="8">
        <f>(I908 - MAX(I842:I908)) / MAX(I842:I908)</f>
        <v>-8.9178818112049016E-2</v>
      </c>
      <c r="P908" s="15">
        <v>-1.8499999999999999E-2</v>
      </c>
      <c r="Q908">
        <f t="shared" si="191"/>
        <v>1.024880101568757</v>
      </c>
      <c r="R908">
        <f t="shared" si="192"/>
        <v>1.4717303687238996E-2</v>
      </c>
      <c r="S908" s="15">
        <f t="shared" si="193"/>
        <v>9.5334091546062261E-2</v>
      </c>
    </row>
    <row r="909" spans="1:19" x14ac:dyDescent="0.3">
      <c r="A909" s="2">
        <v>44044</v>
      </c>
      <c r="B909">
        <v>2020</v>
      </c>
      <c r="C909">
        <v>8</v>
      </c>
      <c r="D909" t="s">
        <v>55</v>
      </c>
      <c r="E909" t="s">
        <v>28</v>
      </c>
      <c r="F909" t="s">
        <v>23</v>
      </c>
      <c r="G909" t="s">
        <v>31</v>
      </c>
      <c r="H909" t="s">
        <v>12</v>
      </c>
      <c r="I909">
        <v>176.62</v>
      </c>
      <c r="J909" s="8">
        <f t="shared" si="195"/>
        <v>-7.8642849118076927E-3</v>
      </c>
      <c r="K909" s="8">
        <f t="shared" si="196"/>
        <v>3.3750309635868234</v>
      </c>
      <c r="L909" s="6">
        <f t="shared" si="194"/>
        <v>-7.428284911807693E-3</v>
      </c>
      <c r="M909">
        <f t="shared" si="190"/>
        <v>0.1047939158042438</v>
      </c>
      <c r="N909" s="15">
        <v>-4.3600000000000003E-4</v>
      </c>
      <c r="O909" s="8">
        <f>(I909 - MAX(I842:I909)) / MAX(I842:I909)</f>
        <v>-9.634177539012527E-2</v>
      </c>
      <c r="P909" s="15">
        <v>3.09E-2</v>
      </c>
      <c r="Q909">
        <f t="shared" si="191"/>
        <v>0.9838455728410459</v>
      </c>
      <c r="R909">
        <f t="shared" si="192"/>
        <v>1.1338615600230931E-2</v>
      </c>
      <c r="S909" s="15">
        <f t="shared" si="193"/>
        <v>9.5266678862267459E-2</v>
      </c>
    </row>
    <row r="910" spans="1:19" x14ac:dyDescent="0.3">
      <c r="A910" s="2">
        <v>44075</v>
      </c>
      <c r="B910">
        <v>2020</v>
      </c>
      <c r="C910">
        <v>9</v>
      </c>
      <c r="D910" t="s">
        <v>55</v>
      </c>
      <c r="E910" t="s">
        <v>28</v>
      </c>
      <c r="F910" t="s">
        <v>23</v>
      </c>
      <c r="G910" t="s">
        <v>31</v>
      </c>
      <c r="H910" t="s">
        <v>12</v>
      </c>
      <c r="I910">
        <v>177.58</v>
      </c>
      <c r="J910" s="8">
        <f t="shared" si="195"/>
        <v>5.4353980296682593E-3</v>
      </c>
      <c r="K910" s="8">
        <f t="shared" si="196"/>
        <v>3.3988109982660406</v>
      </c>
      <c r="L910" s="6">
        <f t="shared" si="194"/>
        <v>5.8723980296682592E-3</v>
      </c>
      <c r="M910">
        <f t="shared" si="190"/>
        <v>0.14840771676801406</v>
      </c>
      <c r="N910" s="15">
        <v>-4.37E-4</v>
      </c>
      <c r="O910" s="8">
        <f>(I910 - MAX(I842:I910)) / MAX(I842:I910)</f>
        <v>-9.1430033256587245E-2</v>
      </c>
      <c r="P910" s="15">
        <v>-2.41E-2</v>
      </c>
      <c r="Q910">
        <f t="shared" si="191"/>
        <v>1.0797396094468148</v>
      </c>
      <c r="R910">
        <f t="shared" si="192"/>
        <v>2.1340064171999393E-2</v>
      </c>
      <c r="S910" s="15">
        <f t="shared" si="193"/>
        <v>9.3902393231361958E-2</v>
      </c>
    </row>
    <row r="911" spans="1:19" x14ac:dyDescent="0.3">
      <c r="A911" s="2">
        <v>44105</v>
      </c>
      <c r="B911">
        <v>2020</v>
      </c>
      <c r="C911">
        <v>10</v>
      </c>
      <c r="D911" t="s">
        <v>55</v>
      </c>
      <c r="E911" t="s">
        <v>28</v>
      </c>
      <c r="F911" t="s">
        <v>23</v>
      </c>
      <c r="G911" t="s">
        <v>31</v>
      </c>
      <c r="H911" t="s">
        <v>12</v>
      </c>
      <c r="I911">
        <v>157.74</v>
      </c>
      <c r="J911" s="8">
        <f t="shared" si="195"/>
        <v>-0.11172429327626986</v>
      </c>
      <c r="K911" s="8">
        <f t="shared" si="196"/>
        <v>2.9073569482288839</v>
      </c>
      <c r="L911" s="6">
        <f t="shared" si="194"/>
        <v>-0.11121829327626985</v>
      </c>
      <c r="M911">
        <f t="shared" si="190"/>
        <v>-7.0823196847982156E-3</v>
      </c>
      <c r="N911" s="15">
        <v>-5.0600000000000005E-4</v>
      </c>
      <c r="O911" s="8">
        <f>(I911 - MAX(I842:I911)) / MAX(I842:I911)</f>
        <v>-0.19293937068303904</v>
      </c>
      <c r="P911" s="15">
        <v>-7.3700000000000002E-2</v>
      </c>
      <c r="Q911">
        <f t="shared" si="191"/>
        <v>1.1295979430276464</v>
      </c>
      <c r="R911">
        <f t="shared" si="192"/>
        <v>1.4895053037200975E-2</v>
      </c>
      <c r="S911" s="15">
        <f t="shared" si="193"/>
        <v>9.8889129795403347E-2</v>
      </c>
    </row>
    <row r="912" spans="1:19" x14ac:dyDescent="0.3">
      <c r="A912" s="2">
        <v>44136</v>
      </c>
      <c r="B912">
        <v>2020</v>
      </c>
      <c r="C912">
        <v>11</v>
      </c>
      <c r="D912" t="s">
        <v>55</v>
      </c>
      <c r="E912" t="s">
        <v>28</v>
      </c>
      <c r="F912" t="s">
        <v>23</v>
      </c>
      <c r="G912" t="s">
        <v>31</v>
      </c>
      <c r="H912" t="s">
        <v>12</v>
      </c>
      <c r="I912">
        <v>195.19</v>
      </c>
      <c r="J912" s="8">
        <f t="shared" si="195"/>
        <v>0.23741600101432728</v>
      </c>
      <c r="K912" s="8">
        <f t="shared" si="196"/>
        <v>3.8350260094129318</v>
      </c>
      <c r="L912" s="6">
        <f t="shared" si="194"/>
        <v>0.23792800101432729</v>
      </c>
      <c r="M912">
        <f t="shared" si="190"/>
        <v>0.1107449014737531</v>
      </c>
      <c r="N912" s="15">
        <v>-5.1199999999999998E-4</v>
      </c>
      <c r="O912" s="8">
        <f>(I912 - MAX(I842:I912)) / MAX(I842:I912)</f>
        <v>-1.3302634944998256E-3</v>
      </c>
      <c r="P912" s="15">
        <v>0.18060000000000001</v>
      </c>
      <c r="Q912">
        <f t="shared" si="191"/>
        <v>1.1616917695998632</v>
      </c>
      <c r="R912">
        <f t="shared" si="192"/>
        <v>1.4427165872176914E-2</v>
      </c>
      <c r="S912" s="15">
        <f t="shared" si="193"/>
        <v>0.11947286424932815</v>
      </c>
    </row>
    <row r="913" spans="1:19" x14ac:dyDescent="0.3">
      <c r="A913" s="2">
        <v>44166</v>
      </c>
      <c r="B913">
        <v>2020</v>
      </c>
      <c r="C913">
        <v>12</v>
      </c>
      <c r="D913" t="s">
        <v>55</v>
      </c>
      <c r="E913" t="s">
        <v>28</v>
      </c>
      <c r="F913" t="s">
        <v>23</v>
      </c>
      <c r="G913" t="s">
        <v>31</v>
      </c>
      <c r="H913" t="s">
        <v>12</v>
      </c>
      <c r="I913">
        <v>215.42</v>
      </c>
      <c r="J913" s="8">
        <f t="shared" si="195"/>
        <v>0.10364260464163118</v>
      </c>
      <c r="K913" s="8">
        <f t="shared" si="196"/>
        <v>4.3361406985385198</v>
      </c>
      <c r="L913" s="6">
        <f t="shared" si="194"/>
        <v>0.10415760464163118</v>
      </c>
      <c r="M913">
        <f t="shared" si="190"/>
        <v>0.17352190470470624</v>
      </c>
      <c r="N913" s="15">
        <v>-5.1500000000000005E-4</v>
      </c>
      <c r="O913" s="8">
        <f>(I913 - MAX(I842:I913)) / MAX(I842:I913)</f>
        <v>0</v>
      </c>
      <c r="P913" s="15">
        <v>2.2599999999999999E-2</v>
      </c>
      <c r="Q913">
        <f t="shared" si="191"/>
        <v>1.182345428547795</v>
      </c>
      <c r="R913">
        <f t="shared" si="192"/>
        <v>2.1374916574539358E-2</v>
      </c>
      <c r="S913" s="15">
        <f t="shared" si="193"/>
        <v>0.12227941661071214</v>
      </c>
    </row>
    <row r="914" spans="1:19" x14ac:dyDescent="0.3">
      <c r="A914" s="2">
        <v>44197</v>
      </c>
      <c r="B914">
        <v>2021</v>
      </c>
      <c r="C914">
        <v>1</v>
      </c>
      <c r="D914" t="s">
        <v>55</v>
      </c>
      <c r="E914" t="s">
        <v>28</v>
      </c>
      <c r="F914" t="s">
        <v>23</v>
      </c>
      <c r="G914" t="s">
        <v>31</v>
      </c>
      <c r="H914" t="s">
        <v>12</v>
      </c>
      <c r="I914">
        <v>176.52</v>
      </c>
      <c r="J914" s="8">
        <f t="shared" si="195"/>
        <v>-0.18057747655742262</v>
      </c>
      <c r="K914" s="8">
        <f t="shared" si="196"/>
        <v>3.3725538766410716</v>
      </c>
      <c r="L914" s="6">
        <f t="shared" si="194"/>
        <v>-0.18009147655742264</v>
      </c>
      <c r="M914">
        <f t="shared" si="190"/>
        <v>2.2765080373815757E-3</v>
      </c>
      <c r="N914" s="15">
        <v>-4.86E-4</v>
      </c>
      <c r="O914" s="8">
        <f>(I914 - MAX(I842:I914)) / MAX(I842:I914)</f>
        <v>-0.18057747655742262</v>
      </c>
      <c r="P914" s="15">
        <v>-2.52E-2</v>
      </c>
      <c r="Q914">
        <f t="shared" si="191"/>
        <v>1.2626511944311993</v>
      </c>
      <c r="R914">
        <f t="shared" si="192"/>
        <v>8.0332446684878365E-5</v>
      </c>
      <c r="S914" s="15">
        <f t="shared" si="193"/>
        <v>0.13392173997266366</v>
      </c>
    </row>
    <row r="915" spans="1:19" x14ac:dyDescent="0.3">
      <c r="A915" s="2">
        <v>44228</v>
      </c>
      <c r="B915">
        <v>2021</v>
      </c>
      <c r="C915">
        <v>2</v>
      </c>
      <c r="D915" t="s">
        <v>55</v>
      </c>
      <c r="E915" t="s">
        <v>28</v>
      </c>
      <c r="F915" t="s">
        <v>23</v>
      </c>
      <c r="G915" t="s">
        <v>31</v>
      </c>
      <c r="H915" t="s">
        <v>12</v>
      </c>
      <c r="I915">
        <v>197.99</v>
      </c>
      <c r="J915" s="8">
        <f t="shared" si="195"/>
        <v>0.12162927713573532</v>
      </c>
      <c r="K915" s="8">
        <f t="shared" si="196"/>
        <v>3.9043844438939823</v>
      </c>
      <c r="L915" s="6">
        <f t="shared" si="194"/>
        <v>0.12200027713573532</v>
      </c>
      <c r="M915">
        <f t="shared" si="190"/>
        <v>0.11205960582517983</v>
      </c>
      <c r="N915" s="15">
        <v>-3.7100000000000002E-4</v>
      </c>
      <c r="O915" s="8">
        <f>(I915 - MAX(I842:I915)) / MAX(I842:I915)</f>
        <v>-8.0911707362361807E-2</v>
      </c>
      <c r="P915" s="15">
        <v>4.4499999999999998E-2</v>
      </c>
      <c r="Q915">
        <f t="shared" si="191"/>
        <v>1.3534807234785016</v>
      </c>
      <c r="R915">
        <f t="shared" si="192"/>
        <v>4.3243342344049043E-4</v>
      </c>
      <c r="S915" s="15">
        <f t="shared" si="193"/>
        <v>0.13683715649223166</v>
      </c>
    </row>
    <row r="916" spans="1:19" x14ac:dyDescent="0.3">
      <c r="A916" s="2">
        <v>44256</v>
      </c>
      <c r="B916">
        <v>2021</v>
      </c>
      <c r="C916">
        <v>3</v>
      </c>
      <c r="D916" t="s">
        <v>55</v>
      </c>
      <c r="E916" t="s">
        <v>28</v>
      </c>
      <c r="F916" t="s">
        <v>23</v>
      </c>
      <c r="G916" t="s">
        <v>31</v>
      </c>
      <c r="H916" t="s">
        <v>12</v>
      </c>
      <c r="I916">
        <v>201.58</v>
      </c>
      <c r="J916" s="8">
        <f t="shared" si="195"/>
        <v>1.8132228900449535E-2</v>
      </c>
      <c r="K916" s="8">
        <f t="shared" si="196"/>
        <v>3.9933118652464721</v>
      </c>
      <c r="L916" s="6">
        <f t="shared" si="194"/>
        <v>1.8436228900449533E-2</v>
      </c>
      <c r="M916">
        <f t="shared" si="190"/>
        <v>0.30021288262965601</v>
      </c>
      <c r="N916" s="15">
        <v>-3.0400000000000002E-4</v>
      </c>
      <c r="O916" s="8">
        <f>(I916 - MAX(I842:I916)) / MAX(I842:I916)</f>
        <v>-6.4246588060532794E-2</v>
      </c>
      <c r="P916" s="15">
        <v>7.7800000000000008E-2</v>
      </c>
      <c r="Q916">
        <f t="shared" si="191"/>
        <v>1.2800585556354807</v>
      </c>
      <c r="R916">
        <f t="shared" si="192"/>
        <v>-4.9301420499935841E-3</v>
      </c>
      <c r="S916" s="15">
        <f t="shared" si="193"/>
        <v>0.11603036472065972</v>
      </c>
    </row>
    <row r="917" spans="1:19" x14ac:dyDescent="0.3">
      <c r="A917" s="2">
        <v>44287</v>
      </c>
      <c r="B917">
        <v>2021</v>
      </c>
      <c r="C917">
        <v>4</v>
      </c>
      <c r="D917" t="s">
        <v>55</v>
      </c>
      <c r="E917" t="s">
        <v>28</v>
      </c>
      <c r="F917" t="s">
        <v>23</v>
      </c>
      <c r="G917" t="s">
        <v>31</v>
      </c>
      <c r="H917" t="s">
        <v>12</v>
      </c>
      <c r="I917">
        <v>214.63</v>
      </c>
      <c r="J917" s="8">
        <f t="shared" si="195"/>
        <v>6.4738565333862394E-2</v>
      </c>
      <c r="K917" s="8">
        <f t="shared" si="196"/>
        <v>4.3165717116670805</v>
      </c>
      <c r="L917" s="6">
        <f t="shared" si="194"/>
        <v>6.5009565333862387E-2</v>
      </c>
      <c r="M917">
        <f t="shared" ref="M917:M948" si="197">(AVERAGE(J906:J917)-AVERAGE(N906:N917))/STDEV(J906:J917)</f>
        <v>0.24961358098129474</v>
      </c>
      <c r="N917" s="15">
        <v>-2.7099999999999997E-4</v>
      </c>
      <c r="O917" s="8">
        <f>(I917 - MAX(I842:I917)) / MAX(I842:I917)</f>
        <v>-3.6672546653049487E-3</v>
      </c>
      <c r="P917" s="15">
        <v>1.4200000000000001E-2</v>
      </c>
      <c r="Q917">
        <f t="shared" ref="Q917:Q948" si="198" xml:space="preserve"> _xlfn.COVARIANCE.P(J906:J917, P906:P917) / _xlfn.VAR.P(P906:P917)</f>
        <v>1.2189358467703968</v>
      </c>
      <c r="R917">
        <f t="shared" ref="R917:R948" si="199">AVERAGE(J906:J917)-(AVERAGE(N906:N917)+Q917*(AVERAGE(P906:P917)-AVERAGE(N906:N917)))</f>
        <v>-6.5270443346104427E-3</v>
      </c>
      <c r="S917" s="15">
        <f t="shared" ref="S917:S948" si="200">STDEV(J906:J917)</f>
        <v>0.11069181016090067</v>
      </c>
    </row>
    <row r="918" spans="1:19" x14ac:dyDescent="0.3">
      <c r="A918" s="2">
        <v>44317</v>
      </c>
      <c r="B918">
        <v>2021</v>
      </c>
      <c r="C918">
        <v>5</v>
      </c>
      <c r="D918" t="s">
        <v>55</v>
      </c>
      <c r="E918" t="s">
        <v>28</v>
      </c>
      <c r="F918" t="s">
        <v>23</v>
      </c>
      <c r="G918" t="s">
        <v>31</v>
      </c>
      <c r="H918" t="s">
        <v>12</v>
      </c>
      <c r="I918">
        <v>193.71</v>
      </c>
      <c r="J918" s="8">
        <f t="shared" si="195"/>
        <v>-9.7470064762614675E-2</v>
      </c>
      <c r="K918" s="8">
        <f t="shared" si="196"/>
        <v>3.7983651226158051</v>
      </c>
      <c r="L918" s="6">
        <f t="shared" si="194"/>
        <v>-9.7284064762614669E-2</v>
      </c>
      <c r="M918">
        <f t="shared" si="197"/>
        <v>0.11093564874989405</v>
      </c>
      <c r="N918" s="15">
        <v>-1.8599999999999999E-4</v>
      </c>
      <c r="O918" s="8">
        <f>(I918 - MAX(I842:I918)) / MAX(I842:I918)</f>
        <v>-0.10077987187819135</v>
      </c>
      <c r="P918" s="15">
        <v>1.6299999999999999E-2</v>
      </c>
      <c r="Q918">
        <f t="shared" si="198"/>
        <v>1.2281774378210575</v>
      </c>
      <c r="R918">
        <f t="shared" si="199"/>
        <v>-1.905523605922458E-2</v>
      </c>
      <c r="S918" s="15">
        <f t="shared" si="200"/>
        <v>0.11471611647327611</v>
      </c>
    </row>
    <row r="919" spans="1:19" x14ac:dyDescent="0.3">
      <c r="A919" s="2">
        <v>44348</v>
      </c>
      <c r="B919">
        <v>2021</v>
      </c>
      <c r="C919">
        <v>6</v>
      </c>
      <c r="D919" t="s">
        <v>55</v>
      </c>
      <c r="E919" t="s">
        <v>28</v>
      </c>
      <c r="F919" t="s">
        <v>23</v>
      </c>
      <c r="G919" t="s">
        <v>31</v>
      </c>
      <c r="H919" t="s">
        <v>12</v>
      </c>
      <c r="I919">
        <v>187.54</v>
      </c>
      <c r="J919" s="8">
        <f t="shared" si="195"/>
        <v>-3.1851737132827504E-2</v>
      </c>
      <c r="K919" s="8">
        <f t="shared" si="196"/>
        <v>3.645528858062919</v>
      </c>
      <c r="L919" s="6">
        <f t="shared" si="194"/>
        <v>-3.1610737132827506E-2</v>
      </c>
      <c r="M919">
        <f t="shared" si="197"/>
        <v>0.12882852354039401</v>
      </c>
      <c r="N919" s="15">
        <v>-2.41E-4</v>
      </c>
      <c r="O919" s="8">
        <f>(I919 - MAX(I842:I919)) / MAX(I842:I919)</f>
        <v>-0.12942159502367467</v>
      </c>
      <c r="P919" s="15">
        <v>6.1000000000000004E-3</v>
      </c>
      <c r="Q919">
        <f t="shared" si="198"/>
        <v>1.3326858648716389</v>
      </c>
      <c r="R919">
        <f t="shared" si="199"/>
        <v>-1.3808814239785269E-2</v>
      </c>
      <c r="S919" s="15">
        <f t="shared" si="200"/>
        <v>0.11367156612477962</v>
      </c>
    </row>
    <row r="920" spans="1:19" x14ac:dyDescent="0.3">
      <c r="A920" s="2">
        <v>44378</v>
      </c>
      <c r="B920">
        <v>2021</v>
      </c>
      <c r="C920">
        <v>7</v>
      </c>
      <c r="D920" t="s">
        <v>55</v>
      </c>
      <c r="E920" t="s">
        <v>28</v>
      </c>
      <c r="F920" t="s">
        <v>23</v>
      </c>
      <c r="G920" t="s">
        <v>31</v>
      </c>
      <c r="H920" t="s">
        <v>12</v>
      </c>
      <c r="I920">
        <v>193.41</v>
      </c>
      <c r="J920" s="8">
        <f t="shared" si="195"/>
        <v>3.129998933560843E-2</v>
      </c>
      <c r="K920" s="8">
        <f t="shared" si="196"/>
        <v>3.7909338617785497</v>
      </c>
      <c r="L920" s="6">
        <f t="shared" si="194"/>
        <v>3.1675989335608432E-2</v>
      </c>
      <c r="M920">
        <f t="shared" si="197"/>
        <v>0.11582594604682341</v>
      </c>
      <c r="N920" s="15">
        <v>-3.7599999999999998E-4</v>
      </c>
      <c r="O920" s="8">
        <f>(I920 - MAX(I842:I920)) / MAX(I842:I920)</f>
        <v>-0.1021725002321047</v>
      </c>
      <c r="P920" s="15">
        <v>6.1999999999999998E-3</v>
      </c>
      <c r="Q920">
        <f t="shared" si="198"/>
        <v>1.4032365687486594</v>
      </c>
      <c r="R920">
        <f t="shared" si="199"/>
        <v>-1.971992945446685E-2</v>
      </c>
      <c r="S920" s="15">
        <f t="shared" si="200"/>
        <v>0.11327859684010338</v>
      </c>
    </row>
    <row r="921" spans="1:19" x14ac:dyDescent="0.3">
      <c r="A921" s="2">
        <v>44409</v>
      </c>
      <c r="B921">
        <v>2021</v>
      </c>
      <c r="C921">
        <v>8</v>
      </c>
      <c r="D921" t="s">
        <v>55</v>
      </c>
      <c r="E921" t="s">
        <v>28</v>
      </c>
      <c r="F921" t="s">
        <v>23</v>
      </c>
      <c r="G921" t="s">
        <v>31</v>
      </c>
      <c r="H921" t="s">
        <v>12</v>
      </c>
      <c r="I921">
        <v>162.63999999999999</v>
      </c>
      <c r="J921" s="8">
        <f t="shared" si="195"/>
        <v>-0.15909208417351745</v>
      </c>
      <c r="K921" s="8">
        <f t="shared" si="196"/>
        <v>3.0287342085707216</v>
      </c>
      <c r="L921" s="6">
        <f t="shared" si="194"/>
        <v>-0.15864308417351744</v>
      </c>
      <c r="M921">
        <f t="shared" si="197"/>
        <v>4.1982565030698636E-3</v>
      </c>
      <c r="N921" s="15">
        <v>-4.4900000000000002E-4</v>
      </c>
      <c r="O921" s="8">
        <f>(I921 - MAX(I842:I921)) / MAX(I842:I921)</f>
        <v>-0.24500974839847742</v>
      </c>
      <c r="P921" s="15">
        <v>2.6200000000000001E-2</v>
      </c>
      <c r="Q921">
        <f t="shared" si="198"/>
        <v>1.3946513618005769</v>
      </c>
      <c r="R921">
        <f t="shared" si="199"/>
        <v>-3.1575511973170524E-2</v>
      </c>
      <c r="S921" s="15">
        <f t="shared" si="200"/>
        <v>0.12371025297590844</v>
      </c>
    </row>
    <row r="922" spans="1:19" x14ac:dyDescent="0.3">
      <c r="A922" s="2">
        <v>44440</v>
      </c>
      <c r="B922">
        <v>2021</v>
      </c>
      <c r="C922">
        <v>9</v>
      </c>
      <c r="D922" t="s">
        <v>55</v>
      </c>
      <c r="E922" t="s">
        <v>28</v>
      </c>
      <c r="F922" t="s">
        <v>23</v>
      </c>
      <c r="G922" t="s">
        <v>31</v>
      </c>
      <c r="H922" t="s">
        <v>12</v>
      </c>
      <c r="I922">
        <v>157.58000000000001</v>
      </c>
      <c r="J922" s="8">
        <f t="shared" si="195"/>
        <v>-3.1111657648794727E-2</v>
      </c>
      <c r="K922" s="8">
        <f t="shared" si="196"/>
        <v>2.9033936091156813</v>
      </c>
      <c r="L922" s="6">
        <f t="shared" si="194"/>
        <v>-3.0809657648794727E-2</v>
      </c>
      <c r="M922">
        <f t="shared" si="197"/>
        <v>-2.0460618308482337E-2</v>
      </c>
      <c r="N922" s="15">
        <v>-3.0200000000000002E-4</v>
      </c>
      <c r="O922" s="8">
        <f>(I922 - MAX(I842:I922)) / MAX(I842:I922)</f>
        <v>-0.26849874663448137</v>
      </c>
      <c r="P922" s="15">
        <v>-3.5299999999999998E-2</v>
      </c>
      <c r="Q922">
        <f t="shared" si="198"/>
        <v>1.4038080970016398</v>
      </c>
      <c r="R922">
        <f t="shared" si="199"/>
        <v>-3.3517058635809158E-2</v>
      </c>
      <c r="S922" s="15">
        <f t="shared" si="200"/>
        <v>0.12401729805500372</v>
      </c>
    </row>
    <row r="923" spans="1:19" x14ac:dyDescent="0.3">
      <c r="A923" s="2">
        <v>44470</v>
      </c>
      <c r="B923">
        <v>2021</v>
      </c>
      <c r="C923">
        <v>10</v>
      </c>
      <c r="D923" t="s">
        <v>55</v>
      </c>
      <c r="E923" t="s">
        <v>28</v>
      </c>
      <c r="F923" t="s">
        <v>23</v>
      </c>
      <c r="G923" t="s">
        <v>31</v>
      </c>
      <c r="H923" t="s">
        <v>12</v>
      </c>
      <c r="I923">
        <v>142.99</v>
      </c>
      <c r="J923" s="8">
        <f t="shared" si="195"/>
        <v>-9.2587891864449823E-2</v>
      </c>
      <c r="K923" s="8">
        <f t="shared" si="196"/>
        <v>2.541986623730494</v>
      </c>
      <c r="L923" s="6">
        <f t="shared" si="194"/>
        <v>-9.2417891864449819E-2</v>
      </c>
      <c r="M923">
        <f t="shared" si="197"/>
        <v>-7.9178089942609532E-3</v>
      </c>
      <c r="N923" s="15">
        <v>-1.7000000000000001E-4</v>
      </c>
      <c r="O923" s="8">
        <f>(I923 - MAX(I842:I923)) / MAX(I842:I923)</f>
        <v>-0.33622690557979751</v>
      </c>
      <c r="P923" s="15">
        <v>0.05</v>
      </c>
      <c r="Q923">
        <f t="shared" si="198"/>
        <v>1.4131975337572034</v>
      </c>
      <c r="R923">
        <f t="shared" si="199"/>
        <v>-4.6685708668707082E-2</v>
      </c>
      <c r="S923" s="15">
        <f t="shared" si="200"/>
        <v>0.12260594846436568</v>
      </c>
    </row>
    <row r="924" spans="1:19" x14ac:dyDescent="0.3">
      <c r="A924" s="2">
        <v>44501</v>
      </c>
      <c r="B924">
        <v>2021</v>
      </c>
      <c r="C924">
        <v>11</v>
      </c>
      <c r="D924" t="s">
        <v>55</v>
      </c>
      <c r="E924" t="s">
        <v>28</v>
      </c>
      <c r="F924" t="s">
        <v>23</v>
      </c>
      <c r="G924" t="s">
        <v>31</v>
      </c>
      <c r="H924" t="s">
        <v>12</v>
      </c>
      <c r="I924">
        <v>119.04</v>
      </c>
      <c r="J924" s="8">
        <f t="shared" si="195"/>
        <v>-0.16749423036575986</v>
      </c>
      <c r="K924" s="8">
        <f t="shared" si="196"/>
        <v>1.9487243002229389</v>
      </c>
      <c r="L924" s="6">
        <f t="shared" si="194"/>
        <v>-0.16723323036575985</v>
      </c>
      <c r="M924">
        <f t="shared" si="197"/>
        <v>-0.32939769137680047</v>
      </c>
      <c r="N924" s="15">
        <v>-2.61E-4</v>
      </c>
      <c r="O924" s="8">
        <f>(I924 - MAX(I842:I924)) / MAX(I842:I924)</f>
        <v>-0.44740506916720818</v>
      </c>
      <c r="P924" s="15">
        <v>-4.41E-2</v>
      </c>
      <c r="Q924">
        <f t="shared" si="198"/>
        <v>1.309938747156822</v>
      </c>
      <c r="R924">
        <f t="shared" si="199"/>
        <v>-5.2552866561166853E-2</v>
      </c>
      <c r="S924" s="15">
        <f t="shared" si="200"/>
        <v>0.10544763165965525</v>
      </c>
    </row>
    <row r="925" spans="1:19" x14ac:dyDescent="0.3">
      <c r="A925" s="2">
        <v>44531</v>
      </c>
      <c r="B925">
        <v>2021</v>
      </c>
      <c r="C925">
        <v>12</v>
      </c>
      <c r="D925" t="s">
        <v>55</v>
      </c>
      <c r="E925" t="s">
        <v>28</v>
      </c>
      <c r="F925" t="s">
        <v>23</v>
      </c>
      <c r="G925" t="s">
        <v>31</v>
      </c>
      <c r="H925" t="s">
        <v>12</v>
      </c>
      <c r="I925">
        <v>135.18</v>
      </c>
      <c r="J925" s="8">
        <f t="shared" si="195"/>
        <v>0.13558467741935484</v>
      </c>
      <c r="K925" s="8">
        <f t="shared" si="196"/>
        <v>2.3485261332672787</v>
      </c>
      <c r="L925" s="6">
        <f t="shared" si="194"/>
        <v>0.13590467741935483</v>
      </c>
      <c r="M925">
        <f t="shared" si="197"/>
        <v>-0.29280842602718382</v>
      </c>
      <c r="N925" s="15">
        <v>-3.2000000000000003E-4</v>
      </c>
      <c r="O925" s="8">
        <f>(I925 - MAX(I842:I925)) / MAX(I842:I925)</f>
        <v>-0.37248166372667341</v>
      </c>
      <c r="P925" s="15">
        <v>5.9800000000000013E-2</v>
      </c>
      <c r="Q925">
        <f t="shared" si="198"/>
        <v>1.5592927025146825</v>
      </c>
      <c r="R925">
        <f t="shared" si="199"/>
        <v>-5.8107624771150723E-2</v>
      </c>
      <c r="S925" s="15">
        <f t="shared" si="200"/>
        <v>0.1095891175915783</v>
      </c>
    </row>
    <row r="926" spans="1:19" x14ac:dyDescent="0.3">
      <c r="A926" s="2">
        <v>44562</v>
      </c>
      <c r="B926">
        <v>2022</v>
      </c>
      <c r="C926">
        <v>1</v>
      </c>
      <c r="D926" t="s">
        <v>55</v>
      </c>
      <c r="E926" t="s">
        <v>28</v>
      </c>
      <c r="F926" t="s">
        <v>23</v>
      </c>
      <c r="G926" t="s">
        <v>31</v>
      </c>
      <c r="H926" t="s">
        <v>12</v>
      </c>
      <c r="I926">
        <v>149.88</v>
      </c>
      <c r="J926" s="8">
        <f t="shared" si="195"/>
        <v>0.10874389702618721</v>
      </c>
      <c r="K926" s="8">
        <f t="shared" si="196"/>
        <v>2.7126579142927922</v>
      </c>
      <c r="L926" s="6">
        <f t="shared" si="194"/>
        <v>0.10883989702618721</v>
      </c>
      <c r="M926">
        <f t="shared" si="197"/>
        <v>-7.5728520218027631E-2</v>
      </c>
      <c r="N926" s="15">
        <v>-9.6000000000000002E-5</v>
      </c>
      <c r="O926" s="8">
        <f>(I926 - MAX(I842:I926)) / MAX(I842:I926)</f>
        <v>-0.30424287438492248</v>
      </c>
      <c r="P926" s="15">
        <v>-3.0499999999999999E-2</v>
      </c>
      <c r="Q926">
        <f t="shared" si="198"/>
        <v>0.74433277473319004</v>
      </c>
      <c r="R926">
        <f t="shared" si="199"/>
        <v>-2.0078311593565355E-2</v>
      </c>
      <c r="S926" s="15">
        <f t="shared" si="200"/>
        <v>0.105785806236976</v>
      </c>
    </row>
    <row r="927" spans="1:19" x14ac:dyDescent="0.3">
      <c r="A927" s="2">
        <v>44593</v>
      </c>
      <c r="B927">
        <v>2022</v>
      </c>
      <c r="C927">
        <v>2</v>
      </c>
      <c r="D927" t="s">
        <v>55</v>
      </c>
      <c r="E927" t="s">
        <v>28</v>
      </c>
      <c r="F927" t="s">
        <v>23</v>
      </c>
      <c r="G927" t="s">
        <v>31</v>
      </c>
      <c r="H927" t="s">
        <v>12</v>
      </c>
      <c r="I927">
        <v>133.38</v>
      </c>
      <c r="J927" s="8">
        <f t="shared" si="195"/>
        <v>-0.11008807045636509</v>
      </c>
      <c r="K927" s="8">
        <f t="shared" si="196"/>
        <v>2.3039385682437454</v>
      </c>
      <c r="L927" s="6">
        <f t="shared" si="194"/>
        <v>-0.11021307045636509</v>
      </c>
      <c r="M927">
        <f t="shared" si="197"/>
        <v>-0.27103831248305266</v>
      </c>
      <c r="N927" s="15">
        <v>1.25E-4</v>
      </c>
      <c r="O927" s="8">
        <f>(I927 - MAX(I842:I927)) / MAX(I842:I927)</f>
        <v>-0.38083743385015317</v>
      </c>
      <c r="P927" s="15">
        <v>-0.06</v>
      </c>
      <c r="Q927">
        <f t="shared" si="198"/>
        <v>0.69513179298970884</v>
      </c>
      <c r="R927">
        <f t="shared" si="199"/>
        <v>-3.2549593798574014E-2</v>
      </c>
      <c r="S927" s="15">
        <f t="shared" si="200"/>
        <v>0.10095294135750561</v>
      </c>
    </row>
    <row r="928" spans="1:19" x14ac:dyDescent="0.3">
      <c r="A928" s="2">
        <v>44621</v>
      </c>
      <c r="B928">
        <v>2022</v>
      </c>
      <c r="C928">
        <v>3</v>
      </c>
      <c r="D928" t="s">
        <v>55</v>
      </c>
      <c r="E928" t="s">
        <v>28</v>
      </c>
      <c r="F928" t="s">
        <v>23</v>
      </c>
      <c r="G928" t="s">
        <v>31</v>
      </c>
      <c r="H928" t="s">
        <v>12</v>
      </c>
      <c r="I928">
        <v>136.84</v>
      </c>
      <c r="J928" s="8">
        <f t="shared" si="195"/>
        <v>2.5940920677762845E-2</v>
      </c>
      <c r="K928" s="8">
        <f t="shared" si="196"/>
        <v>2.3896457765667574</v>
      </c>
      <c r="L928" s="6">
        <f t="shared" si="194"/>
        <v>2.5705920677762846E-2</v>
      </c>
      <c r="M928">
        <f t="shared" si="197"/>
        <v>-0.26413175644561215</v>
      </c>
      <c r="N928" s="15">
        <v>2.3499999999999999E-4</v>
      </c>
      <c r="O928" s="8">
        <f>(I928 - MAX(I842:I928)) / MAX(I842:I928)</f>
        <v>-0.36477578683501993</v>
      </c>
      <c r="P928" s="15">
        <v>-5.5000000000000014E-3</v>
      </c>
      <c r="Q928">
        <f t="shared" si="198"/>
        <v>0.68829711970774432</v>
      </c>
      <c r="R928">
        <f t="shared" si="199"/>
        <v>-2.7083936646610341E-2</v>
      </c>
      <c r="S928" s="15">
        <f t="shared" si="200"/>
        <v>0.10129909245933059</v>
      </c>
    </row>
    <row r="929" spans="1:19" x14ac:dyDescent="0.3">
      <c r="A929" s="2">
        <v>44652</v>
      </c>
      <c r="B929">
        <v>2022</v>
      </c>
      <c r="C929">
        <v>4</v>
      </c>
      <c r="D929" t="s">
        <v>55</v>
      </c>
      <c r="E929" t="s">
        <v>28</v>
      </c>
      <c r="F929" t="s">
        <v>23</v>
      </c>
      <c r="G929" t="s">
        <v>31</v>
      </c>
      <c r="H929" t="s">
        <v>12</v>
      </c>
      <c r="I929">
        <v>136.97999999999999</v>
      </c>
      <c r="J929" s="8">
        <f t="shared" si="195"/>
        <v>1.0230926629639459E-3</v>
      </c>
      <c r="K929" s="8">
        <f t="shared" si="196"/>
        <v>2.3931136982908097</v>
      </c>
      <c r="L929" s="6">
        <f t="shared" si="194"/>
        <v>4.0109266296394581E-4</v>
      </c>
      <c r="M929">
        <f t="shared" si="197"/>
        <v>-0.32910159054905003</v>
      </c>
      <c r="N929" s="15">
        <v>6.2200000000000005E-4</v>
      </c>
      <c r="O929" s="8">
        <f>(I929 - MAX(I842:I929)) / MAX(I842:I929)</f>
        <v>-0.36412589360319375</v>
      </c>
      <c r="P929" s="15">
        <v>-2.5499999999999998E-2</v>
      </c>
      <c r="Q929">
        <f t="shared" si="198"/>
        <v>0.52969076527896353</v>
      </c>
      <c r="R929">
        <f t="shared" si="199"/>
        <v>-3.060066797489636E-2</v>
      </c>
      <c r="S929" s="15">
        <f t="shared" si="200"/>
        <v>9.7660866826107653E-2</v>
      </c>
    </row>
    <row r="930" spans="1:19" x14ac:dyDescent="0.3">
      <c r="A930" s="2">
        <v>44682</v>
      </c>
      <c r="B930">
        <v>2022</v>
      </c>
      <c r="C930">
        <v>5</v>
      </c>
      <c r="D930" t="s">
        <v>55</v>
      </c>
      <c r="E930" t="s">
        <v>28</v>
      </c>
      <c r="F930" t="s">
        <v>23</v>
      </c>
      <c r="G930" t="s">
        <v>31</v>
      </c>
      <c r="H930" t="s">
        <v>12</v>
      </c>
      <c r="I930">
        <v>131.04</v>
      </c>
      <c r="J930" s="8">
        <f t="shared" si="195"/>
        <v>-4.3363994743758197E-2</v>
      </c>
      <c r="K930" s="8">
        <f t="shared" si="196"/>
        <v>2.2459747337131533</v>
      </c>
      <c r="L930" s="6">
        <f t="shared" si="194"/>
        <v>-4.41579947437582E-2</v>
      </c>
      <c r="M930">
        <f t="shared" si="197"/>
        <v>-0.28987526443586292</v>
      </c>
      <c r="N930" s="15">
        <v>7.94E-4</v>
      </c>
      <c r="O930" s="8">
        <f>(I930 - MAX(I842:I930)) / MAX(I842:I930)</f>
        <v>-0.39169993501067679</v>
      </c>
      <c r="P930" s="15">
        <v>-3.5999999999999999E-3</v>
      </c>
      <c r="Q930">
        <f t="shared" si="198"/>
        <v>0.63452684286359118</v>
      </c>
      <c r="R930">
        <f t="shared" si="199"/>
        <v>-2.4764686498223221E-2</v>
      </c>
      <c r="S930" s="15">
        <f t="shared" si="200"/>
        <v>9.5603790682979639E-2</v>
      </c>
    </row>
    <row r="931" spans="1:19" x14ac:dyDescent="0.3">
      <c r="A931" s="2">
        <v>44713</v>
      </c>
      <c r="B931">
        <v>2022</v>
      </c>
      <c r="C931">
        <v>6</v>
      </c>
      <c r="D931" t="s">
        <v>55</v>
      </c>
      <c r="E931" t="s">
        <v>28</v>
      </c>
      <c r="F931" t="s">
        <v>23</v>
      </c>
      <c r="G931" t="s">
        <v>31</v>
      </c>
      <c r="H931" t="s">
        <v>12</v>
      </c>
      <c r="I931">
        <v>110.64</v>
      </c>
      <c r="J931" s="8">
        <f t="shared" si="195"/>
        <v>-0.15567765567765562</v>
      </c>
      <c r="K931" s="8">
        <f t="shared" si="196"/>
        <v>1.7406489967797873</v>
      </c>
      <c r="L931" s="6">
        <f t="shared" si="194"/>
        <v>-0.15688165567765563</v>
      </c>
      <c r="M931">
        <f t="shared" si="197"/>
        <v>-0.37214921230572096</v>
      </c>
      <c r="N931" s="15">
        <v>1.204E-3</v>
      </c>
      <c r="O931" s="8">
        <f>(I931 - MAX(I842:I931)) / MAX(I842:I931)</f>
        <v>-0.4863986630767802</v>
      </c>
      <c r="P931" s="15">
        <v>-8.8200000000000001E-2</v>
      </c>
      <c r="Q931">
        <f t="shared" si="198"/>
        <v>0.91279268703795813</v>
      </c>
      <c r="R931">
        <f t="shared" si="199"/>
        <v>-2.6627953247170884E-2</v>
      </c>
      <c r="S931" s="15">
        <f t="shared" si="200"/>
        <v>0.10251914032274337</v>
      </c>
    </row>
    <row r="932" spans="1:19" x14ac:dyDescent="0.3">
      <c r="A932" s="2">
        <v>44743</v>
      </c>
      <c r="B932">
        <v>2022</v>
      </c>
      <c r="C932">
        <v>7</v>
      </c>
      <c r="D932" t="s">
        <v>55</v>
      </c>
      <c r="E932" t="s">
        <v>28</v>
      </c>
      <c r="F932" t="s">
        <v>23</v>
      </c>
      <c r="G932" t="s">
        <v>31</v>
      </c>
      <c r="H932" t="s">
        <v>12</v>
      </c>
      <c r="I932">
        <v>122.32</v>
      </c>
      <c r="J932" s="8">
        <f t="shared" si="195"/>
        <v>0.10556760665220528</v>
      </c>
      <c r="K932" s="8">
        <f t="shared" si="196"/>
        <v>2.0299727520435971</v>
      </c>
      <c r="L932" s="6">
        <f t="shared" si="194"/>
        <v>0.10466560665220528</v>
      </c>
      <c r="M932">
        <f t="shared" si="197"/>
        <v>-0.29390433738551552</v>
      </c>
      <c r="N932" s="15">
        <v>9.0200000000000002E-4</v>
      </c>
      <c r="O932" s="8">
        <f>(I932 - MAX(I842:I932)) / MAX(I842:I932)</f>
        <v>-0.43217899916442298</v>
      </c>
      <c r="P932" s="15">
        <v>7.3300000000000004E-2</v>
      </c>
      <c r="Q932">
        <f t="shared" si="198"/>
        <v>1.0768141166131231</v>
      </c>
      <c r="R932">
        <f t="shared" si="199"/>
        <v>-2.4381137476995648E-2</v>
      </c>
      <c r="S932" s="15">
        <f t="shared" si="200"/>
        <v>0.10911696469993205</v>
      </c>
    </row>
    <row r="933" spans="1:19" x14ac:dyDescent="0.3">
      <c r="A933" s="2">
        <v>44774</v>
      </c>
      <c r="B933">
        <v>2022</v>
      </c>
      <c r="C933">
        <v>8</v>
      </c>
      <c r="D933" t="s">
        <v>55</v>
      </c>
      <c r="E933" t="s">
        <v>28</v>
      </c>
      <c r="F933" t="s">
        <v>23</v>
      </c>
      <c r="G933" t="s">
        <v>31</v>
      </c>
      <c r="H933" t="s">
        <v>12</v>
      </c>
      <c r="I933">
        <v>124.23</v>
      </c>
      <c r="J933" s="8">
        <f t="shared" si="195"/>
        <v>1.5614780902550775E-2</v>
      </c>
      <c r="K933" s="8">
        <f t="shared" si="196"/>
        <v>2.077285112707457</v>
      </c>
      <c r="L933" s="6">
        <f t="shared" si="194"/>
        <v>1.4752780902550775E-2</v>
      </c>
      <c r="M933">
        <f t="shared" si="197"/>
        <v>-0.17270512818448638</v>
      </c>
      <c r="N933" s="15">
        <v>8.6200000000000003E-4</v>
      </c>
      <c r="O933" s="8">
        <f>(I933 - MAX(I842:I933)) / MAX(I842:I933)</f>
        <v>-0.42331259864450838</v>
      </c>
      <c r="P933" s="15">
        <v>-5.1499999999999997E-2</v>
      </c>
      <c r="Q933">
        <f t="shared" si="198"/>
        <v>1.1770683264917916</v>
      </c>
      <c r="R933">
        <f t="shared" si="199"/>
        <v>-1.4655214486827342E-3</v>
      </c>
      <c r="S933" s="15">
        <f t="shared" si="200"/>
        <v>0.10202530735407146</v>
      </c>
    </row>
    <row r="934" spans="1:19" x14ac:dyDescent="0.3">
      <c r="A934" s="2">
        <v>44805</v>
      </c>
      <c r="B934">
        <v>2022</v>
      </c>
      <c r="C934">
        <v>9</v>
      </c>
      <c r="D934" t="s">
        <v>55</v>
      </c>
      <c r="E934" t="s">
        <v>28</v>
      </c>
      <c r="F934" t="s">
        <v>23</v>
      </c>
      <c r="G934" t="s">
        <v>31</v>
      </c>
      <c r="H934" t="s">
        <v>12</v>
      </c>
      <c r="I934">
        <v>108.05</v>
      </c>
      <c r="J934" s="8">
        <f t="shared" si="195"/>
        <v>-0.13024229252193517</v>
      </c>
      <c r="K934" s="8">
        <f t="shared" si="196"/>
        <v>1.6764924448848162</v>
      </c>
      <c r="L934" s="6">
        <f t="shared" si="194"/>
        <v>-0.13173829252193517</v>
      </c>
      <c r="M934">
        <f t="shared" si="197"/>
        <v>-0.24298742183847596</v>
      </c>
      <c r="N934" s="15">
        <v>1.4959999999999999E-3</v>
      </c>
      <c r="O934" s="8">
        <f>(I934 - MAX(I842:I934)) / MAX(I842:I934)</f>
        <v>-0.4984216878655649</v>
      </c>
      <c r="P934" s="15">
        <v>-5.6599999999999998E-2</v>
      </c>
      <c r="Q934">
        <f t="shared" si="198"/>
        <v>1.2724330105731667</v>
      </c>
      <c r="R934">
        <f t="shared" si="199"/>
        <v>-6.1181789945276843E-3</v>
      </c>
      <c r="S934" s="15">
        <f t="shared" si="200"/>
        <v>0.1071290569711553</v>
      </c>
    </row>
    <row r="935" spans="1:19" x14ac:dyDescent="0.3">
      <c r="A935" s="2">
        <v>44835</v>
      </c>
      <c r="B935">
        <v>2022</v>
      </c>
      <c r="C935">
        <v>10</v>
      </c>
      <c r="D935" t="s">
        <v>55</v>
      </c>
      <c r="E935" t="s">
        <v>28</v>
      </c>
      <c r="F935" t="s">
        <v>23</v>
      </c>
      <c r="G935" t="s">
        <v>31</v>
      </c>
      <c r="H935" t="s">
        <v>12</v>
      </c>
      <c r="I935">
        <v>114.26</v>
      </c>
      <c r="J935" s="8">
        <f t="shared" si="195"/>
        <v>5.747339194817222E-2</v>
      </c>
      <c r="K935" s="8">
        <f t="shared" si="196"/>
        <v>1.8303195442160032</v>
      </c>
      <c r="L935" s="6">
        <f t="shared" si="194"/>
        <v>5.5651391948172223E-2</v>
      </c>
      <c r="M935">
        <f t="shared" si="197"/>
        <v>-0.12753926259697468</v>
      </c>
      <c r="N935" s="15">
        <v>1.8220000000000001E-3</v>
      </c>
      <c r="O935" s="8">
        <f>(I935 - MAX(I842:I935)) / MAX(I842:I935)</f>
        <v>-0.46959428093955985</v>
      </c>
      <c r="P935" s="15">
        <v>9.0200000000000002E-2</v>
      </c>
      <c r="Q935">
        <f t="shared" si="198"/>
        <v>1.3847139941959203</v>
      </c>
      <c r="R935">
        <f t="shared" si="199"/>
        <v>3.5691305287933271E-3</v>
      </c>
      <c r="S935" s="15">
        <f t="shared" si="200"/>
        <v>0.10735444203005649</v>
      </c>
    </row>
    <row r="936" spans="1:19" x14ac:dyDescent="0.3">
      <c r="A936" s="2">
        <v>44866</v>
      </c>
      <c r="B936">
        <v>2022</v>
      </c>
      <c r="C936">
        <v>11</v>
      </c>
      <c r="D936" t="s">
        <v>55</v>
      </c>
      <c r="E936" t="s">
        <v>28</v>
      </c>
      <c r="F936" t="s">
        <v>23</v>
      </c>
      <c r="G936" t="s">
        <v>31</v>
      </c>
      <c r="H936" t="s">
        <v>12</v>
      </c>
      <c r="I936">
        <v>103.78</v>
      </c>
      <c r="J936" s="8">
        <f t="shared" si="195"/>
        <v>-9.1720637143357292E-2</v>
      </c>
      <c r="K936" s="8">
        <f t="shared" si="196"/>
        <v>1.5707208323012147</v>
      </c>
      <c r="L936" s="6">
        <f t="shared" si="194"/>
        <v>-9.3442637143357293E-2</v>
      </c>
      <c r="M936">
        <f t="shared" si="197"/>
        <v>-7.5898828092010734E-2</v>
      </c>
      <c r="N936" s="15">
        <v>1.722E-3</v>
      </c>
      <c r="O936" s="8">
        <f>(I936 - MAX(I842:I936)) / MAX(I842:I936)</f>
        <v>-0.51824343143626406</v>
      </c>
      <c r="P936" s="15">
        <v>9.6000000000000002E-2</v>
      </c>
      <c r="Q936">
        <f t="shared" si="198"/>
        <v>0.79241710750975058</v>
      </c>
      <c r="R936">
        <f t="shared" si="199"/>
        <v>-6.7854036554127039E-3</v>
      </c>
      <c r="S936" s="15">
        <f t="shared" si="200"/>
        <v>9.9378217829823715E-2</v>
      </c>
    </row>
    <row r="937" spans="1:19" x14ac:dyDescent="0.3">
      <c r="A937" s="2">
        <v>44896</v>
      </c>
      <c r="B937">
        <v>2022</v>
      </c>
      <c r="C937">
        <v>12</v>
      </c>
      <c r="D937" t="s">
        <v>55</v>
      </c>
      <c r="E937" t="s">
        <v>28</v>
      </c>
      <c r="F937" t="s">
        <v>23</v>
      </c>
      <c r="G937" t="s">
        <v>31</v>
      </c>
      <c r="H937" t="s">
        <v>12</v>
      </c>
      <c r="I937">
        <v>99.32</v>
      </c>
      <c r="J937" s="8">
        <f t="shared" si="195"/>
        <v>-4.2975525149354481E-2</v>
      </c>
      <c r="K937" s="8">
        <f t="shared" si="196"/>
        <v>1.4602427545206846</v>
      </c>
      <c r="L937" s="6">
        <f t="shared" si="194"/>
        <v>-4.4713525149354477E-2</v>
      </c>
      <c r="M937">
        <f t="shared" si="197"/>
        <v>-0.25401740750082902</v>
      </c>
      <c r="N937" s="15">
        <v>1.738E-3</v>
      </c>
      <c r="O937" s="8">
        <f>(I937 - MAX(I842:I937)) / MAX(I842:I937)</f>
        <v>-0.53894717296444161</v>
      </c>
      <c r="P937" s="15">
        <v>-4.3200000000000002E-2</v>
      </c>
      <c r="Q937">
        <f t="shared" si="198"/>
        <v>0.64127952608304217</v>
      </c>
      <c r="R937">
        <f t="shared" si="199"/>
        <v>-1.6367062313852584E-2</v>
      </c>
      <c r="S937" s="15">
        <f t="shared" si="200"/>
        <v>8.8947475585145597E-2</v>
      </c>
    </row>
    <row r="938" spans="1:19" x14ac:dyDescent="0.3">
      <c r="A938" s="2">
        <v>44927</v>
      </c>
      <c r="B938">
        <v>2023</v>
      </c>
      <c r="C938">
        <v>1</v>
      </c>
      <c r="D938" t="s">
        <v>55</v>
      </c>
      <c r="E938" t="s">
        <v>28</v>
      </c>
      <c r="F938" t="s">
        <v>23</v>
      </c>
      <c r="G938" t="s">
        <v>31</v>
      </c>
      <c r="H938" t="s">
        <v>12</v>
      </c>
      <c r="I938">
        <v>112.72</v>
      </c>
      <c r="J938" s="8">
        <f t="shared" si="195"/>
        <v>0.13491743858236011</v>
      </c>
      <c r="K938" s="8">
        <f t="shared" si="196"/>
        <v>1.7921724052514256</v>
      </c>
      <c r="L938" s="6">
        <f t="shared" si="194"/>
        <v>0.13309043858236011</v>
      </c>
      <c r="M938">
        <f t="shared" si="197"/>
        <v>-0.22198701387842396</v>
      </c>
      <c r="N938" s="15">
        <v>1.8270000000000001E-3</v>
      </c>
      <c r="O938" s="8">
        <f>(I938 - MAX(I842:I938)) / MAX(I842:I938)</f>
        <v>-0.47674310648964813</v>
      </c>
      <c r="P938" s="15">
        <v>9.7500000000000003E-2</v>
      </c>
      <c r="Q938">
        <f t="shared" si="198"/>
        <v>0.89385594628867626</v>
      </c>
      <c r="R938">
        <f t="shared" si="199"/>
        <v>-2.1284763534117818E-2</v>
      </c>
      <c r="S938" s="15">
        <f t="shared" si="200"/>
        <v>9.2678073052214635E-2</v>
      </c>
    </row>
    <row r="939" spans="1:19" x14ac:dyDescent="0.3">
      <c r="A939" s="2">
        <v>44958</v>
      </c>
      <c r="B939">
        <v>2023</v>
      </c>
      <c r="C939">
        <v>2</v>
      </c>
      <c r="D939" t="s">
        <v>55</v>
      </c>
      <c r="E939" t="s">
        <v>28</v>
      </c>
      <c r="F939" t="s">
        <v>23</v>
      </c>
      <c r="G939" t="s">
        <v>31</v>
      </c>
      <c r="H939" t="s">
        <v>12</v>
      </c>
      <c r="I939">
        <v>112.2</v>
      </c>
      <c r="J939" s="8">
        <f t="shared" ref="J939:J970" si="201">(I939-I938)/I938</f>
        <v>-4.613200851667814E-3</v>
      </c>
      <c r="K939" s="8">
        <f t="shared" ref="K939:K970" si="202">(K938+1)*(J939+1)-1</f>
        <v>1.7792915531335165</v>
      </c>
      <c r="L939" s="6">
        <f t="shared" si="194"/>
        <v>-6.5882008516678142E-3</v>
      </c>
      <c r="M939">
        <f t="shared" si="197"/>
        <v>-0.13535856341512867</v>
      </c>
      <c r="N939" s="15">
        <v>1.9750000000000002E-3</v>
      </c>
      <c r="O939" s="8">
        <f>(I939 - MAX(I842:I939)) / MAX(I842:I939)</f>
        <v>-0.4791569956364311</v>
      </c>
      <c r="P939" s="15">
        <v>1.7999999999999999E-2</v>
      </c>
      <c r="Q939">
        <f t="shared" si="198"/>
        <v>0.84355106774289812</v>
      </c>
      <c r="R939">
        <f t="shared" si="199"/>
        <v>-1.7962353726528962E-2</v>
      </c>
      <c r="S939" s="15">
        <f t="shared" si="200"/>
        <v>8.8194810784626321E-2</v>
      </c>
    </row>
    <row r="940" spans="1:19" x14ac:dyDescent="0.3">
      <c r="A940" s="2">
        <v>44986</v>
      </c>
      <c r="B940">
        <v>2023</v>
      </c>
      <c r="C940">
        <v>3</v>
      </c>
      <c r="D940" t="s">
        <v>55</v>
      </c>
      <c r="E940" t="s">
        <v>28</v>
      </c>
      <c r="F940" t="s">
        <v>23</v>
      </c>
      <c r="G940" t="s">
        <v>31</v>
      </c>
      <c r="H940" t="s">
        <v>12</v>
      </c>
      <c r="I940">
        <v>105.24</v>
      </c>
      <c r="J940" s="8">
        <f t="shared" si="201"/>
        <v>-6.2032085561497398E-2</v>
      </c>
      <c r="K940" s="8">
        <f t="shared" si="202"/>
        <v>1.6068863017091912</v>
      </c>
      <c r="L940" s="6">
        <f t="shared" si="194"/>
        <v>-6.4018085561497393E-2</v>
      </c>
      <c r="M940">
        <f t="shared" si="197"/>
        <v>-0.21930213965766848</v>
      </c>
      <c r="N940" s="15">
        <v>1.9859999999999999E-3</v>
      </c>
      <c r="O940" s="8">
        <f>(I940 - MAX(I842:I940)) / MAX(I842:I940)</f>
        <v>-0.51146597344721934</v>
      </c>
      <c r="P940" s="15">
        <v>1.8100000000000002E-2</v>
      </c>
      <c r="Q940">
        <f t="shared" si="198"/>
        <v>0.84999124329669018</v>
      </c>
      <c r="R940">
        <f t="shared" si="199"/>
        <v>-2.7032969926461054E-2</v>
      </c>
      <c r="S940" s="15">
        <f t="shared" si="200"/>
        <v>8.8530478720915545E-2</v>
      </c>
    </row>
    <row r="941" spans="1:19" x14ac:dyDescent="0.3">
      <c r="A941" s="2">
        <v>45017</v>
      </c>
      <c r="B941">
        <v>2023</v>
      </c>
      <c r="C941">
        <v>4</v>
      </c>
      <c r="D941" t="s">
        <v>55</v>
      </c>
      <c r="E941" t="s">
        <v>28</v>
      </c>
      <c r="F941" t="s">
        <v>23</v>
      </c>
      <c r="G941" t="s">
        <v>31</v>
      </c>
      <c r="H941" t="s">
        <v>12</v>
      </c>
      <c r="I941">
        <v>112.71</v>
      </c>
      <c r="J941" s="8">
        <f t="shared" si="201"/>
        <v>7.0980615735461799E-2</v>
      </c>
      <c r="K941" s="8">
        <f t="shared" si="202"/>
        <v>1.7919246965568503</v>
      </c>
      <c r="L941" s="6">
        <f t="shared" si="194"/>
        <v>6.9014615735461804E-2</v>
      </c>
      <c r="M941">
        <f t="shared" si="197"/>
        <v>-0.14867577149509659</v>
      </c>
      <c r="N941" s="15">
        <v>1.9659999999999999E-3</v>
      </c>
      <c r="O941" s="8">
        <f>(I941 - MAX(I842:I941)) / MAX(I842:I941)</f>
        <v>-0.47678952743477859</v>
      </c>
      <c r="P941" s="15">
        <v>1.03E-2</v>
      </c>
      <c r="Q941">
        <f t="shared" si="198"/>
        <v>0.88562164515220099</v>
      </c>
      <c r="R941">
        <f t="shared" si="199"/>
        <v>-2.4177428764163268E-2</v>
      </c>
      <c r="S941" s="15">
        <f t="shared" si="200"/>
        <v>9.2127518030006572E-2</v>
      </c>
    </row>
    <row r="942" spans="1:19" x14ac:dyDescent="0.3">
      <c r="A942" s="2">
        <v>45047</v>
      </c>
      <c r="B942">
        <v>2023</v>
      </c>
      <c r="C942">
        <v>5</v>
      </c>
      <c r="D942" t="s">
        <v>55</v>
      </c>
      <c r="E942" t="s">
        <v>28</v>
      </c>
      <c r="F942" t="s">
        <v>23</v>
      </c>
      <c r="G942" t="s">
        <v>31</v>
      </c>
      <c r="H942" t="s">
        <v>12</v>
      </c>
      <c r="I942">
        <v>97.69</v>
      </c>
      <c r="J942" s="8">
        <f t="shared" si="201"/>
        <v>-0.13326235471564188</v>
      </c>
      <c r="K942" s="8">
        <f t="shared" si="202"/>
        <v>1.4198662373049307</v>
      </c>
      <c r="L942" s="6">
        <f t="shared" si="194"/>
        <v>-0.13521435471564189</v>
      </c>
      <c r="M942">
        <f t="shared" si="197"/>
        <v>-0.21644426509965731</v>
      </c>
      <c r="N942" s="15">
        <v>1.952E-3</v>
      </c>
      <c r="O942" s="8">
        <f>(I942 - MAX(I842:I942)) / MAX(I842:I942)</f>
        <v>-0.54651378702070375</v>
      </c>
      <c r="P942" s="15">
        <v>-3.2400000000000012E-2</v>
      </c>
      <c r="Q942">
        <f t="shared" si="198"/>
        <v>0.95335131619521252</v>
      </c>
      <c r="R942">
        <f t="shared" si="199"/>
        <v>-3.0186918839783389E-2</v>
      </c>
      <c r="S942" s="15">
        <f t="shared" si="200"/>
        <v>9.8340142238909911E-2</v>
      </c>
    </row>
    <row r="943" spans="1:19" x14ac:dyDescent="0.3">
      <c r="A943" s="2">
        <v>45078</v>
      </c>
      <c r="B943">
        <v>2023</v>
      </c>
      <c r="C943">
        <v>6</v>
      </c>
      <c r="D943" t="s">
        <v>55</v>
      </c>
      <c r="E943" t="s">
        <v>28</v>
      </c>
      <c r="F943" t="s">
        <v>23</v>
      </c>
      <c r="G943" t="s">
        <v>31</v>
      </c>
      <c r="H943" t="s">
        <v>12</v>
      </c>
      <c r="I943">
        <v>98.52</v>
      </c>
      <c r="J943" s="8">
        <f t="shared" si="201"/>
        <v>8.4962636912682809E-3</v>
      </c>
      <c r="K943" s="8">
        <f t="shared" si="202"/>
        <v>1.4404260589546705</v>
      </c>
      <c r="L943" s="6">
        <f t="shared" si="194"/>
        <v>6.5162636912682809E-3</v>
      </c>
      <c r="M943">
        <f t="shared" si="197"/>
        <v>-8.6515579420833294E-2</v>
      </c>
      <c r="N943" s="15">
        <v>1.98E-3</v>
      </c>
      <c r="O943" s="8">
        <f>(I943 - MAX(I842:I943)) / MAX(I842:I943)</f>
        <v>-0.54266084857487695</v>
      </c>
      <c r="P943" s="15">
        <v>4.2900000000000001E-2</v>
      </c>
      <c r="Q943">
        <f t="shared" si="198"/>
        <v>0.83145060974094021</v>
      </c>
      <c r="R943">
        <f t="shared" si="199"/>
        <v>-2.446202880129723E-2</v>
      </c>
      <c r="S943" s="15">
        <f t="shared" si="200"/>
        <v>8.8639139762916722E-2</v>
      </c>
    </row>
    <row r="944" spans="1:19" x14ac:dyDescent="0.3">
      <c r="A944" s="2">
        <v>45108</v>
      </c>
      <c r="B944">
        <v>2023</v>
      </c>
      <c r="C944">
        <v>7</v>
      </c>
      <c r="D944" t="s">
        <v>55</v>
      </c>
      <c r="E944" t="s">
        <v>28</v>
      </c>
      <c r="F944" t="s">
        <v>23</v>
      </c>
      <c r="G944" t="s">
        <v>31</v>
      </c>
      <c r="H944" t="s">
        <v>12</v>
      </c>
      <c r="I944">
        <v>110.25</v>
      </c>
      <c r="J944" s="8">
        <f t="shared" si="201"/>
        <v>0.11906211936662611</v>
      </c>
      <c r="K944" s="8">
        <f t="shared" si="202"/>
        <v>1.7309883576913565</v>
      </c>
      <c r="L944" s="6">
        <f t="shared" si="194"/>
        <v>0.11701511936662612</v>
      </c>
      <c r="M944">
        <f t="shared" si="197"/>
        <v>-7.3565134141659466E-2</v>
      </c>
      <c r="N944" s="15">
        <v>2.0470000000000002E-3</v>
      </c>
      <c r="O944" s="8">
        <f>(I944 - MAX(I842:I944)) / MAX(I842:I944)</f>
        <v>-0.48820907993686746</v>
      </c>
      <c r="P944" s="15">
        <v>1.6400000000000001E-2</v>
      </c>
      <c r="Q944">
        <f t="shared" si="198"/>
        <v>0.71821929260337869</v>
      </c>
      <c r="R944">
        <f t="shared" si="199"/>
        <v>-1.7671807772059813E-2</v>
      </c>
      <c r="S944" s="15">
        <f t="shared" si="200"/>
        <v>9.0253902937668509E-2</v>
      </c>
    </row>
    <row r="945" spans="1:19" x14ac:dyDescent="0.3">
      <c r="A945" s="2">
        <v>45139</v>
      </c>
      <c r="B945">
        <v>2023</v>
      </c>
      <c r="C945">
        <v>8</v>
      </c>
      <c r="D945" t="s">
        <v>55</v>
      </c>
      <c r="E945" t="s">
        <v>28</v>
      </c>
      <c r="F945" t="s">
        <v>23</v>
      </c>
      <c r="G945" t="s">
        <v>31</v>
      </c>
      <c r="H945" t="s">
        <v>12</v>
      </c>
      <c r="I945">
        <v>126.69</v>
      </c>
      <c r="J945" s="8">
        <f t="shared" si="201"/>
        <v>0.14911564625850338</v>
      </c>
      <c r="K945" s="8">
        <f t="shared" si="202"/>
        <v>2.1382214515729516</v>
      </c>
      <c r="L945" s="6">
        <f t="shared" si="194"/>
        <v>0.14699464625850336</v>
      </c>
      <c r="M945">
        <f t="shared" si="197"/>
        <v>4.3528628979550163E-2</v>
      </c>
      <c r="N945" s="15">
        <v>2.1210000000000001E-3</v>
      </c>
      <c r="O945" s="8">
        <f>(I945 - MAX(I842:I945)) / MAX(I842:I945)</f>
        <v>-0.41189304614241945</v>
      </c>
      <c r="P945" s="15">
        <v>-3.9E-2</v>
      </c>
      <c r="Q945">
        <f t="shared" si="198"/>
        <v>0.53112948237183433</v>
      </c>
      <c r="R945">
        <f t="shared" si="199"/>
        <v>-4.2753792474630901E-3</v>
      </c>
      <c r="S945" s="15">
        <f t="shared" si="200"/>
        <v>0.10063755906416229</v>
      </c>
    </row>
    <row r="946" spans="1:19" x14ac:dyDescent="0.3">
      <c r="A946" s="2">
        <v>45170</v>
      </c>
      <c r="B946">
        <v>2023</v>
      </c>
      <c r="C946">
        <v>9</v>
      </c>
      <c r="D946" t="s">
        <v>55</v>
      </c>
      <c r="E946" t="s">
        <v>28</v>
      </c>
      <c r="F946" t="s">
        <v>23</v>
      </c>
      <c r="G946" t="s">
        <v>31</v>
      </c>
      <c r="H946" t="s">
        <v>12</v>
      </c>
      <c r="I946">
        <v>115.39</v>
      </c>
      <c r="J946" s="8">
        <f t="shared" si="201"/>
        <v>-8.9194095824453368E-2</v>
      </c>
      <c r="K946" s="8">
        <f t="shared" si="202"/>
        <v>1.8583106267029987</v>
      </c>
      <c r="L946" s="6">
        <f t="shared" si="194"/>
        <v>-9.1412095824453365E-2</v>
      </c>
      <c r="M946">
        <f t="shared" si="197"/>
        <v>8.0490526289082598E-2</v>
      </c>
      <c r="N946" s="15">
        <v>2.2179999999999999E-3</v>
      </c>
      <c r="O946" s="8">
        <f>(I946 - MAX(I842:I946)) / MAX(I842:I946)</f>
        <v>-0.46434871413981987</v>
      </c>
      <c r="P946" s="15">
        <v>-2.8500000000000001E-2</v>
      </c>
      <c r="Q946">
        <f t="shared" si="198"/>
        <v>0.39742044453216591</v>
      </c>
      <c r="R946">
        <f t="shared" si="199"/>
        <v>3.5752315914594837E-4</v>
      </c>
      <c r="S946" s="15">
        <f t="shared" si="200"/>
        <v>9.6174440872282843E-2</v>
      </c>
    </row>
    <row r="947" spans="1:19" x14ac:dyDescent="0.3">
      <c r="A947" s="2">
        <v>45200</v>
      </c>
      <c r="B947">
        <v>2023</v>
      </c>
      <c r="C947">
        <v>10</v>
      </c>
      <c r="D947" t="s">
        <v>55</v>
      </c>
      <c r="E947" t="s">
        <v>28</v>
      </c>
      <c r="F947" t="s">
        <v>23</v>
      </c>
      <c r="G947" t="s">
        <v>31</v>
      </c>
      <c r="H947" t="s">
        <v>12</v>
      </c>
      <c r="I947">
        <v>106.22</v>
      </c>
      <c r="J947" s="8">
        <f t="shared" si="201"/>
        <v>-7.9469624750844972E-2</v>
      </c>
      <c r="K947" s="8">
        <f t="shared" si="202"/>
        <v>1.6311617537775591</v>
      </c>
      <c r="L947" s="6">
        <f t="shared" si="194"/>
        <v>-8.1822624750844966E-2</v>
      </c>
      <c r="M947">
        <f t="shared" si="197"/>
        <v>-3.7872093908890153E-2</v>
      </c>
      <c r="N947" s="15">
        <v>2.3530000000000001E-3</v>
      </c>
      <c r="O947" s="8">
        <f>(I947 - MAX(I842:I947)) / MAX(I842:I947)</f>
        <v>-0.50691672082443595</v>
      </c>
      <c r="P947" s="15">
        <v>-2.7199999999999998E-2</v>
      </c>
      <c r="Q947">
        <f t="shared" si="198"/>
        <v>0.43813029606799031</v>
      </c>
      <c r="R947">
        <f t="shared" si="199"/>
        <v>-7.5492244503481271E-3</v>
      </c>
      <c r="S947" s="15">
        <f t="shared" si="200"/>
        <v>9.8094304102130839E-2</v>
      </c>
    </row>
    <row r="948" spans="1:19" x14ac:dyDescent="0.3">
      <c r="A948" s="2">
        <v>45231</v>
      </c>
      <c r="B948">
        <v>2023</v>
      </c>
      <c r="C948">
        <v>11</v>
      </c>
      <c r="D948" t="s">
        <v>55</v>
      </c>
      <c r="E948" t="s">
        <v>28</v>
      </c>
      <c r="F948" t="s">
        <v>23</v>
      </c>
      <c r="G948" t="s">
        <v>31</v>
      </c>
      <c r="H948" t="s">
        <v>12</v>
      </c>
      <c r="I948">
        <v>116.44</v>
      </c>
      <c r="J948" s="8">
        <f t="shared" si="201"/>
        <v>9.6215401995857638E-2</v>
      </c>
      <c r="K948" s="8">
        <f t="shared" si="202"/>
        <v>1.8843200396333928</v>
      </c>
      <c r="L948" s="6">
        <f t="shared" si="194"/>
        <v>9.4047401995857635E-2</v>
      </c>
      <c r="M948">
        <f t="shared" si="197"/>
        <v>0.12224535819544656</v>
      </c>
      <c r="N948" s="15">
        <v>2.1679999999999998E-3</v>
      </c>
      <c r="O948" s="8">
        <f>(I948 - MAX(I842:I948)) / MAX(I842:I948)</f>
        <v>-0.45947451490112334</v>
      </c>
      <c r="P948" s="15">
        <v>7.9100000000000004E-2</v>
      </c>
      <c r="Q948">
        <f t="shared" si="198"/>
        <v>1.1075350204660668</v>
      </c>
      <c r="R948">
        <f t="shared" si="199"/>
        <v>3.8177592556148145E-3</v>
      </c>
      <c r="S948" s="15">
        <f t="shared" si="200"/>
        <v>9.7419921763772746E-2</v>
      </c>
    </row>
    <row r="949" spans="1:19" x14ac:dyDescent="0.3">
      <c r="A949" s="2">
        <v>45261</v>
      </c>
      <c r="B949">
        <v>2023</v>
      </c>
      <c r="C949">
        <v>12</v>
      </c>
      <c r="D949" t="s">
        <v>55</v>
      </c>
      <c r="E949" t="s">
        <v>28</v>
      </c>
      <c r="F949" t="s">
        <v>23</v>
      </c>
      <c r="G949" t="s">
        <v>31</v>
      </c>
      <c r="H949" t="s">
        <v>12</v>
      </c>
      <c r="I949">
        <v>127</v>
      </c>
      <c r="J949" s="8">
        <f t="shared" si="201"/>
        <v>9.0690484369632451E-2</v>
      </c>
      <c r="K949" s="8">
        <f t="shared" si="202"/>
        <v>2.1459004211047823</v>
      </c>
      <c r="L949" s="6">
        <f t="shared" si="194"/>
        <v>8.8938484369632448E-2</v>
      </c>
      <c r="M949">
        <f t="shared" ref="M949:M980" si="203">(AVERAGE(J938:J949)-AVERAGE(N938:N949))/STDEV(J938:J949)</f>
        <v>0.23526464463701924</v>
      </c>
      <c r="N949" s="15">
        <v>1.7520000000000001E-3</v>
      </c>
      <c r="O949" s="8">
        <f>(I949 - MAX(I842:I949)) / MAX(I842:I949)</f>
        <v>-0.41045399684337569</v>
      </c>
      <c r="P949" s="15">
        <v>3.1800000000000002E-2</v>
      </c>
      <c r="Q949">
        <f t="shared" ref="Q949:Q980" si="204" xml:space="preserve"> _xlfn.COVARIANCE.P(J938:J949, P938:P949) / _xlfn.VAR.P(P938:P949)</f>
        <v>1.1514602723295757</v>
      </c>
      <c r="R949">
        <f t="shared" ref="R949:R980" si="205">AVERAGE(J938:J949)-(AVERAGE(N938:N949)+Q949*(AVERAGE(P938:P949)-AVERAGE(N938:N949)))</f>
        <v>7.4392364749864374E-3</v>
      </c>
      <c r="S949" s="15">
        <f t="shared" ref="S949:S980" si="206">STDEV(J938:J949)</f>
        <v>9.7961173583299713E-2</v>
      </c>
    </row>
    <row r="950" spans="1:19" x14ac:dyDescent="0.3">
      <c r="A950" s="2">
        <v>45292</v>
      </c>
      <c r="B950">
        <v>2024</v>
      </c>
      <c r="C950">
        <v>1</v>
      </c>
      <c r="D950" t="s">
        <v>55</v>
      </c>
      <c r="E950" t="s">
        <v>28</v>
      </c>
      <c r="F950" t="s">
        <v>23</v>
      </c>
      <c r="G950" t="s">
        <v>31</v>
      </c>
      <c r="H950" t="s">
        <v>12</v>
      </c>
      <c r="I950">
        <v>133.22999999999999</v>
      </c>
      <c r="J950" s="8">
        <f t="shared" si="201"/>
        <v>4.9055118110236141E-2</v>
      </c>
      <c r="K950" s="8">
        <f t="shared" si="202"/>
        <v>2.3002229378251191</v>
      </c>
      <c r="L950" s="6">
        <f t="shared" si="194"/>
        <v>4.724311811023614E-2</v>
      </c>
      <c r="M950">
        <f t="shared" si="203"/>
        <v>0.1724230695723622</v>
      </c>
      <c r="N950" s="15">
        <v>1.812E-3</v>
      </c>
      <c r="O950" s="8">
        <f>(I950 - MAX(I842:I950)) / MAX(I842:I950)</f>
        <v>-0.38153374802710982</v>
      </c>
      <c r="P950" s="15">
        <v>2.8000000000000001E-2</v>
      </c>
      <c r="Q950">
        <f t="shared" si="204"/>
        <v>1.0661726437792673</v>
      </c>
      <c r="R950">
        <f t="shared" si="205"/>
        <v>7.6149152168805048E-3</v>
      </c>
      <c r="S950" s="15">
        <f t="shared" si="206"/>
        <v>9.2173613183202718E-2</v>
      </c>
    </row>
    <row r="951" spans="1:19" x14ac:dyDescent="0.3">
      <c r="A951" s="2">
        <v>45323</v>
      </c>
      <c r="B951">
        <v>2024</v>
      </c>
      <c r="C951">
        <v>2</v>
      </c>
      <c r="D951" t="s">
        <v>55</v>
      </c>
      <c r="E951" t="s">
        <v>28</v>
      </c>
      <c r="F951" t="s">
        <v>23</v>
      </c>
      <c r="G951" t="s">
        <v>31</v>
      </c>
      <c r="H951" t="s">
        <v>12</v>
      </c>
      <c r="I951">
        <v>129.69999999999999</v>
      </c>
      <c r="J951" s="8">
        <f t="shared" si="201"/>
        <v>-2.6495534038880143E-2</v>
      </c>
      <c r="K951" s="8">
        <f t="shared" si="202"/>
        <v>2.2127817686400806</v>
      </c>
      <c r="L951" s="6">
        <f t="shared" si="194"/>
        <v>-2.8438534038880144E-2</v>
      </c>
      <c r="M951">
        <f t="shared" si="203"/>
        <v>0.15151750515688675</v>
      </c>
      <c r="N951" s="15">
        <v>1.9430000000000001E-3</v>
      </c>
      <c r="O951" s="8">
        <f>(I951 - MAX(I842:I951)) / MAX(I842:I951)</f>
        <v>-0.39792034165815615</v>
      </c>
      <c r="P951" s="15">
        <v>4.9299999999999997E-2</v>
      </c>
      <c r="Q951">
        <f t="shared" si="204"/>
        <v>0.86895570631065178</v>
      </c>
      <c r="R951">
        <f t="shared" si="205"/>
        <v>5.0564359407649397E-3</v>
      </c>
      <c r="S951" s="15">
        <f t="shared" si="206"/>
        <v>9.2873732346096541E-2</v>
      </c>
    </row>
    <row r="952" spans="1:19" x14ac:dyDescent="0.3">
      <c r="A952" s="2">
        <v>45352</v>
      </c>
      <c r="B952">
        <v>2024</v>
      </c>
      <c r="C952">
        <v>3</v>
      </c>
      <c r="D952" t="s">
        <v>55</v>
      </c>
      <c r="E952" t="s">
        <v>28</v>
      </c>
      <c r="F952" t="s">
        <v>23</v>
      </c>
      <c r="G952" t="s">
        <v>31</v>
      </c>
      <c r="H952" t="s">
        <v>12</v>
      </c>
      <c r="I952">
        <v>133.66</v>
      </c>
      <c r="J952" s="8">
        <f t="shared" si="201"/>
        <v>3.053199691595997E-2</v>
      </c>
      <c r="K952" s="8">
        <f t="shared" si="202"/>
        <v>2.3108744116918518</v>
      </c>
      <c r="L952" s="6">
        <f t="shared" si="194"/>
        <v>2.8573996915959968E-2</v>
      </c>
      <c r="M952">
        <f t="shared" si="203"/>
        <v>0.24322296418986691</v>
      </c>
      <c r="N952" s="15">
        <v>1.9580000000000001E-3</v>
      </c>
      <c r="O952" s="8">
        <f>(I952 - MAX(I842:I952)) / MAX(I842:I952)</f>
        <v>-0.37953764738650075</v>
      </c>
      <c r="P952" s="15">
        <v>4.2199999999999988E-2</v>
      </c>
      <c r="Q952">
        <f t="shared" si="204"/>
        <v>0.86822490274300868</v>
      </c>
      <c r="R952">
        <f t="shared" si="205"/>
        <v>1.1034314151586004E-2</v>
      </c>
      <c r="S952" s="15">
        <f t="shared" si="206"/>
        <v>8.9580369869195833E-2</v>
      </c>
    </row>
    <row r="953" spans="1:19" x14ac:dyDescent="0.3">
      <c r="A953" s="2">
        <v>45383</v>
      </c>
      <c r="B953">
        <v>2024</v>
      </c>
      <c r="C953">
        <v>4</v>
      </c>
      <c r="D953" t="s">
        <v>55</v>
      </c>
      <c r="E953" t="s">
        <v>28</v>
      </c>
      <c r="F953" t="s">
        <v>23</v>
      </c>
      <c r="G953" t="s">
        <v>31</v>
      </c>
      <c r="H953" t="s">
        <v>12</v>
      </c>
      <c r="I953">
        <v>122.77</v>
      </c>
      <c r="J953" s="8">
        <f t="shared" si="201"/>
        <v>-8.1475385306000306E-2</v>
      </c>
      <c r="K953" s="8">
        <f t="shared" si="202"/>
        <v>2.0411196432994814</v>
      </c>
      <c r="L953" s="6">
        <f t="shared" si="194"/>
        <v>-8.3513385306000304E-2</v>
      </c>
      <c r="M953">
        <f t="shared" si="203"/>
        <v>9.7577430269907714E-2</v>
      </c>
      <c r="N953" s="15">
        <v>2.0379999999999999E-3</v>
      </c>
      <c r="O953" s="8">
        <f>(I953 - MAX(I842:I953)) / MAX(I842:I953)</f>
        <v>-0.43009005663355304</v>
      </c>
      <c r="P953" s="15">
        <v>-3.1899999999999998E-2</v>
      </c>
      <c r="Q953">
        <f t="shared" si="204"/>
        <v>1.0238327381010686</v>
      </c>
      <c r="R953">
        <f t="shared" si="205"/>
        <v>2.936142775820938E-6</v>
      </c>
      <c r="S953" s="15">
        <f t="shared" si="206"/>
        <v>9.3027007518506746E-2</v>
      </c>
    </row>
    <row r="954" spans="1:19" x14ac:dyDescent="0.3">
      <c r="A954" s="2">
        <v>45413</v>
      </c>
      <c r="B954">
        <v>2024</v>
      </c>
      <c r="C954">
        <v>5</v>
      </c>
      <c r="D954" t="s">
        <v>55</v>
      </c>
      <c r="E954" t="s">
        <v>28</v>
      </c>
      <c r="F954" t="s">
        <v>23</v>
      </c>
      <c r="G954" t="s">
        <v>31</v>
      </c>
      <c r="H954" t="s">
        <v>12</v>
      </c>
      <c r="I954">
        <v>101.85</v>
      </c>
      <c r="J954" s="8">
        <f t="shared" si="201"/>
        <v>-0.17039993483750104</v>
      </c>
      <c r="K954" s="8">
        <f t="shared" si="202"/>
        <v>1.5229130542482054</v>
      </c>
      <c r="L954" s="6">
        <f t="shared" si="194"/>
        <v>-0.17249993483750103</v>
      </c>
      <c r="M954">
        <f t="shared" si="203"/>
        <v>6.0481930044405247E-2</v>
      </c>
      <c r="N954" s="15">
        <v>2.0999999999999999E-3</v>
      </c>
      <c r="O954" s="8">
        <f>(I954 - MAX(I842:I954)) / MAX(I842:I954)</f>
        <v>-0.52720267384643948</v>
      </c>
      <c r="P954" s="15">
        <v>1.2699999999999999E-2</v>
      </c>
      <c r="Q954">
        <f t="shared" si="204"/>
        <v>0.7528198091818542</v>
      </c>
      <c r="R954">
        <f t="shared" si="205"/>
        <v>-3.5222257814085146E-3</v>
      </c>
      <c r="S954" s="15">
        <f t="shared" si="206"/>
        <v>9.8710551368820607E-2</v>
      </c>
    </row>
    <row r="955" spans="1:19" x14ac:dyDescent="0.3">
      <c r="A955" s="2">
        <v>45444</v>
      </c>
      <c r="B955">
        <v>2024</v>
      </c>
      <c r="C955">
        <v>6</v>
      </c>
      <c r="D955" t="s">
        <v>55</v>
      </c>
      <c r="E955" t="s">
        <v>28</v>
      </c>
      <c r="F955" t="s">
        <v>23</v>
      </c>
      <c r="G955" t="s">
        <v>31</v>
      </c>
      <c r="H955" t="s">
        <v>12</v>
      </c>
      <c r="I955">
        <v>96.7</v>
      </c>
      <c r="J955" s="8">
        <f t="shared" si="201"/>
        <v>-5.0564555719194812E-2</v>
      </c>
      <c r="K955" s="8">
        <f t="shared" si="202"/>
        <v>1.3953430765419879</v>
      </c>
      <c r="L955" s="6">
        <f t="shared" si="194"/>
        <v>-5.2634555719194814E-2</v>
      </c>
      <c r="M955">
        <f t="shared" si="203"/>
        <v>1.0394509289892004E-2</v>
      </c>
      <c r="N955" s="15">
        <v>2.0699999999999998E-3</v>
      </c>
      <c r="O955" s="8">
        <f>(I955 - MAX(I842:I955)) / MAX(I842:I955)</f>
        <v>-0.55110946058861754</v>
      </c>
      <c r="P955" s="15">
        <v>-1.7999999999999999E-2</v>
      </c>
      <c r="Q955">
        <f t="shared" si="204"/>
        <v>0.85464276298429886</v>
      </c>
      <c r="R955">
        <f t="shared" si="205"/>
        <v>-5.3916414844000643E-3</v>
      </c>
      <c r="S955" s="15">
        <f t="shared" si="206"/>
        <v>0.1001461139367144</v>
      </c>
    </row>
    <row r="956" spans="1:19" x14ac:dyDescent="0.3">
      <c r="A956" s="2">
        <v>45474</v>
      </c>
      <c r="B956">
        <v>2024</v>
      </c>
      <c r="C956">
        <v>7</v>
      </c>
      <c r="D956" t="s">
        <v>55</v>
      </c>
      <c r="E956" t="s">
        <v>28</v>
      </c>
      <c r="F956" t="s">
        <v>23</v>
      </c>
      <c r="G956" t="s">
        <v>31</v>
      </c>
      <c r="H956" t="s">
        <v>12</v>
      </c>
      <c r="I956">
        <v>101.64</v>
      </c>
      <c r="J956" s="8">
        <f t="shared" si="201"/>
        <v>5.1085832471561503E-2</v>
      </c>
      <c r="K956" s="8">
        <f t="shared" si="202"/>
        <v>1.5177111716621265</v>
      </c>
      <c r="L956" s="6">
        <f t="shared" si="194"/>
        <v>4.9036832471561501E-2</v>
      </c>
      <c r="M956">
        <f t="shared" si="203"/>
        <v>-4.8791683926528523E-2</v>
      </c>
      <c r="N956" s="15">
        <v>2.049E-3</v>
      </c>
      <c r="O956" s="8">
        <f>(I956 - MAX(I842:I956)) / MAX(I842:I956)</f>
        <v>-0.52817751369417876</v>
      </c>
      <c r="P956" s="15">
        <v>-4.3E-3</v>
      </c>
      <c r="Q956">
        <f t="shared" si="204"/>
        <v>0.75110074996441412</v>
      </c>
      <c r="R956">
        <f t="shared" si="205"/>
        <v>-8.9813985305121791E-3</v>
      </c>
      <c r="S956" s="15">
        <f t="shared" si="206"/>
        <v>9.4767943171552987E-2</v>
      </c>
    </row>
    <row r="957" spans="1:19" x14ac:dyDescent="0.3">
      <c r="A957" s="2">
        <v>45505</v>
      </c>
      <c r="B957">
        <v>2024</v>
      </c>
      <c r="C957">
        <v>8</v>
      </c>
      <c r="D957" t="s">
        <v>55</v>
      </c>
      <c r="E957" t="s">
        <v>28</v>
      </c>
      <c r="F957" t="s">
        <v>23</v>
      </c>
      <c r="G957" t="s">
        <v>31</v>
      </c>
      <c r="H957" t="s">
        <v>12</v>
      </c>
      <c r="I957">
        <v>111.01</v>
      </c>
      <c r="J957" s="8">
        <f t="shared" si="201"/>
        <v>9.2188114915387684E-2</v>
      </c>
      <c r="K957" s="8">
        <f t="shared" si="202"/>
        <v>1.7498142184790697</v>
      </c>
      <c r="L957" s="6">
        <f t="shared" si="194"/>
        <v>9.0348114915387689E-2</v>
      </c>
      <c r="M957">
        <f t="shared" si="203"/>
        <v>-0.10662163662063619</v>
      </c>
      <c r="N957" s="15">
        <v>1.8400000000000001E-3</v>
      </c>
      <c r="O957" s="8">
        <f>(I957 - MAX(I842:I957)) / MAX(I842:I957)</f>
        <v>-0.48468108810695382</v>
      </c>
      <c r="P957" s="15">
        <v>1.7500000000000002E-2</v>
      </c>
      <c r="Q957">
        <f t="shared" si="204"/>
        <v>1.4832666993621419</v>
      </c>
      <c r="R957">
        <f t="shared" si="205"/>
        <v>-2.496805076924288E-2</v>
      </c>
      <c r="S957" s="15">
        <f t="shared" si="206"/>
        <v>8.764104645508719E-2</v>
      </c>
    </row>
    <row r="958" spans="1:19" x14ac:dyDescent="0.3">
      <c r="A958" s="2">
        <v>45536</v>
      </c>
      <c r="B958">
        <v>2024</v>
      </c>
      <c r="C958">
        <v>9</v>
      </c>
      <c r="D958" t="s">
        <v>55</v>
      </c>
      <c r="E958" t="s">
        <v>28</v>
      </c>
      <c r="F958" t="s">
        <v>23</v>
      </c>
      <c r="G958" t="s">
        <v>31</v>
      </c>
      <c r="H958" t="s">
        <v>12</v>
      </c>
      <c r="I958">
        <v>102.42</v>
      </c>
      <c r="J958" s="8">
        <f t="shared" si="201"/>
        <v>-7.7380416178722669E-2</v>
      </c>
      <c r="K958" s="8">
        <f t="shared" si="202"/>
        <v>1.53703244983899</v>
      </c>
      <c r="L958" s="6">
        <f t="shared" si="194"/>
        <v>-7.9186416178722671E-2</v>
      </c>
      <c r="M958">
        <f t="shared" si="203"/>
        <v>-9.6029050927375584E-2</v>
      </c>
      <c r="N958" s="15">
        <v>1.8060000000000001E-3</v>
      </c>
      <c r="O958" s="8">
        <f>(I958 - MAX(I842:I958)) / MAX(I842:I958)</f>
        <v>-0.52455667997400424</v>
      </c>
      <c r="P958" s="15">
        <v>8.6E-3</v>
      </c>
      <c r="Q958">
        <f t="shared" si="204"/>
        <v>1.4436973674044613</v>
      </c>
      <c r="R958">
        <f t="shared" si="205"/>
        <v>-2.8045448436761763E-2</v>
      </c>
      <c r="S958" s="15">
        <f t="shared" si="206"/>
        <v>8.669902587435592E-2</v>
      </c>
    </row>
    <row r="959" spans="1:19" x14ac:dyDescent="0.3">
      <c r="A959" s="2">
        <v>45566</v>
      </c>
      <c r="B959">
        <v>2024</v>
      </c>
      <c r="C959">
        <v>10</v>
      </c>
      <c r="D959" t="s">
        <v>55</v>
      </c>
      <c r="E959" t="s">
        <v>28</v>
      </c>
      <c r="F959" t="s">
        <v>23</v>
      </c>
      <c r="G959" t="s">
        <v>31</v>
      </c>
      <c r="H959" t="s">
        <v>12</v>
      </c>
      <c r="I959">
        <v>103.71</v>
      </c>
      <c r="J959" s="8">
        <f t="shared" si="201"/>
        <v>1.25951962507322E-2</v>
      </c>
      <c r="K959" s="8">
        <f t="shared" si="202"/>
        <v>1.5689868714391881</v>
      </c>
      <c r="L959" s="6">
        <f t="shared" si="194"/>
        <v>1.07371962507322E-2</v>
      </c>
      <c r="M959">
        <f t="shared" si="203"/>
        <v>-7.3190709980664893E-3</v>
      </c>
      <c r="N959" s="15">
        <v>1.8580000000000001E-3</v>
      </c>
      <c r="O959" s="8">
        <f>(I959 - MAX(I842:I959)) / MAX(I842:I959)</f>
        <v>-0.51856837805217715</v>
      </c>
      <c r="P959" s="15">
        <v>-3.4599999999999999E-2</v>
      </c>
      <c r="Q959">
        <f t="shared" si="204"/>
        <v>1.0471543345704726</v>
      </c>
      <c r="R959">
        <f t="shared" si="205"/>
        <v>-1.4313099542041911E-2</v>
      </c>
      <c r="S959" s="15">
        <f t="shared" si="206"/>
        <v>8.3659081105516508E-2</v>
      </c>
    </row>
    <row r="960" spans="1:19" x14ac:dyDescent="0.3">
      <c r="A960" s="2">
        <v>45597</v>
      </c>
      <c r="B960">
        <v>2024</v>
      </c>
      <c r="C960">
        <v>11</v>
      </c>
      <c r="D960" t="s">
        <v>55</v>
      </c>
      <c r="E960" t="s">
        <v>28</v>
      </c>
      <c r="F960" t="s">
        <v>23</v>
      </c>
      <c r="G960" t="s">
        <v>31</v>
      </c>
      <c r="H960" t="s">
        <v>12</v>
      </c>
      <c r="I960">
        <v>118.96</v>
      </c>
      <c r="J960" s="8">
        <f t="shared" si="201"/>
        <v>0.14704464371805998</v>
      </c>
      <c r="K960" s="8">
        <f t="shared" si="202"/>
        <v>1.9467426306663369</v>
      </c>
      <c r="L960" s="6">
        <f t="shared" si="194"/>
        <v>0.14512364371805997</v>
      </c>
      <c r="M960">
        <f t="shared" si="203"/>
        <v>4.0511978713653952E-2</v>
      </c>
      <c r="N960" s="15">
        <v>1.921E-3</v>
      </c>
      <c r="O960" s="8">
        <f>(I960 - MAX(I842:I960)) / MAX(I842:I960)</f>
        <v>-0.44777643672825179</v>
      </c>
      <c r="P960" s="15">
        <v>-4.7999999999999996E-3</v>
      </c>
      <c r="Q960">
        <f t="shared" si="204"/>
        <v>0.55476860295883157</v>
      </c>
      <c r="R960">
        <f t="shared" si="205"/>
        <v>2.528849448693157E-4</v>
      </c>
      <c r="S960" s="15">
        <f t="shared" si="206"/>
        <v>8.994985775349805E-2</v>
      </c>
    </row>
    <row r="961" spans="1:19" x14ac:dyDescent="0.3">
      <c r="A961" s="2">
        <v>45627</v>
      </c>
      <c r="B961">
        <v>2024</v>
      </c>
      <c r="C961">
        <v>12</v>
      </c>
      <c r="D961" t="s">
        <v>55</v>
      </c>
      <c r="E961" t="s">
        <v>28</v>
      </c>
      <c r="F961" t="s">
        <v>23</v>
      </c>
      <c r="G961" t="s">
        <v>31</v>
      </c>
      <c r="H961" t="s">
        <v>12</v>
      </c>
      <c r="I961">
        <v>112.06</v>
      </c>
      <c r="J961" s="8">
        <f t="shared" si="201"/>
        <v>-5.8002689979825085E-2</v>
      </c>
      <c r="K961" s="8">
        <f t="shared" si="202"/>
        <v>1.7758236314094633</v>
      </c>
      <c r="L961" s="6">
        <f t="shared" si="194"/>
        <v>-5.9818689979825083E-2</v>
      </c>
      <c r="M961">
        <f t="shared" si="203"/>
        <v>-0.10018416200941617</v>
      </c>
      <c r="N961" s="15">
        <v>1.8159999999999999E-3</v>
      </c>
      <c r="O961" s="8">
        <f>(I961 - MAX(I842:I961)) / MAX(I842:I961)</f>
        <v>-0.47980688886825734</v>
      </c>
      <c r="P961" s="15">
        <v>1.35E-2</v>
      </c>
      <c r="Q961">
        <f t="shared" si="204"/>
        <v>0.26157315299177109</v>
      </c>
      <c r="R961">
        <f t="shared" si="205"/>
        <v>-9.9510216490042557E-3</v>
      </c>
      <c r="S961" s="15">
        <f t="shared" si="206"/>
        <v>8.7362955357749961E-2</v>
      </c>
    </row>
    <row r="962" spans="1:19" x14ac:dyDescent="0.3">
      <c r="A962" s="2">
        <v>42005</v>
      </c>
      <c r="B962">
        <v>2015</v>
      </c>
      <c r="C962">
        <v>1</v>
      </c>
      <c r="D962" t="s">
        <v>55</v>
      </c>
      <c r="E962" t="s">
        <v>29</v>
      </c>
      <c r="F962" t="s">
        <v>23</v>
      </c>
      <c r="G962" t="s">
        <v>32</v>
      </c>
      <c r="H962" t="s">
        <v>12</v>
      </c>
      <c r="I962">
        <v>86.82</v>
      </c>
      <c r="J962" s="8">
        <v>-5.824926781646611E-2</v>
      </c>
      <c r="K962" s="8">
        <v>-5.824926781646611E-2</v>
      </c>
      <c r="L962" s="6">
        <f t="shared" ref="L962:L1025" si="207">J962-N962</f>
        <v>-5.8574267816466109E-2</v>
      </c>
      <c r="N962" s="15">
        <v>3.2499999999999999E-4</v>
      </c>
      <c r="O962" s="8">
        <f>(I962 - MAX(I962:I962)) / MAX(I962:I962)</f>
        <v>0</v>
      </c>
      <c r="P962" s="15">
        <v>6.5199999999999994E-2</v>
      </c>
      <c r="S962" s="15">
        <f t="shared" si="206"/>
        <v>8.6612495167236889E-2</v>
      </c>
    </row>
    <row r="963" spans="1:19" x14ac:dyDescent="0.3">
      <c r="A963" s="2">
        <v>42036</v>
      </c>
      <c r="B963">
        <v>2015</v>
      </c>
      <c r="C963">
        <v>2</v>
      </c>
      <c r="D963" t="s">
        <v>55</v>
      </c>
      <c r="E963" t="s">
        <v>29</v>
      </c>
      <c r="F963" t="s">
        <v>23</v>
      </c>
      <c r="G963" t="s">
        <v>32</v>
      </c>
      <c r="H963" t="s">
        <v>12</v>
      </c>
      <c r="I963">
        <v>97.63</v>
      </c>
      <c r="J963" s="8">
        <f t="shared" ref="J963:J994" si="208">(I963-I962)/I962</f>
        <v>0.12451048145588578</v>
      </c>
      <c r="K963" s="8">
        <f t="shared" ref="K963:K994" si="209">(K962+1)*(J963+1)-1</f>
        <v>5.9008569259138666E-2</v>
      </c>
      <c r="L963" s="6">
        <f t="shared" si="207"/>
        <v>0.12425848145588578</v>
      </c>
      <c r="N963" s="15">
        <v>2.52E-4</v>
      </c>
      <c r="O963" s="8">
        <f>(I963 - MAX(I962:I963)) / MAX(I962:I963)</f>
        <v>0</v>
      </c>
      <c r="P963" s="15">
        <v>7.3899999999999993E-2</v>
      </c>
    </row>
    <row r="964" spans="1:19" x14ac:dyDescent="0.3">
      <c r="A964" s="2">
        <v>42064</v>
      </c>
      <c r="B964">
        <v>2015</v>
      </c>
      <c r="C964">
        <v>3</v>
      </c>
      <c r="D964" t="s">
        <v>55</v>
      </c>
      <c r="E964" t="s">
        <v>29</v>
      </c>
      <c r="F964" t="s">
        <v>23</v>
      </c>
      <c r="G964" t="s">
        <v>32</v>
      </c>
      <c r="H964" t="s">
        <v>12</v>
      </c>
      <c r="I964">
        <v>96.96</v>
      </c>
      <c r="J964" s="8">
        <f t="shared" si="208"/>
        <v>-6.8626446788897033E-3</v>
      </c>
      <c r="K964" s="8">
        <f t="shared" si="209"/>
        <v>5.1740969736413733E-2</v>
      </c>
      <c r="L964" s="6">
        <f t="shared" si="207"/>
        <v>-7.0516446788897033E-3</v>
      </c>
      <c r="N964" s="15">
        <v>1.8900000000000001E-4</v>
      </c>
      <c r="O964" s="8">
        <f>(I964 - MAX(I962:I964)) / MAX(I962:I964)</f>
        <v>-6.8626446788897033E-3</v>
      </c>
      <c r="P964" s="15">
        <v>2.7300000000000001E-2</v>
      </c>
    </row>
    <row r="965" spans="1:19" x14ac:dyDescent="0.3">
      <c r="A965" s="2">
        <v>42095</v>
      </c>
      <c r="B965">
        <v>2015</v>
      </c>
      <c r="C965">
        <v>4</v>
      </c>
      <c r="D965" t="s">
        <v>55</v>
      </c>
      <c r="E965" t="s">
        <v>29</v>
      </c>
      <c r="F965" t="s">
        <v>23</v>
      </c>
      <c r="G965" t="s">
        <v>32</v>
      </c>
      <c r="H965" t="s">
        <v>12</v>
      </c>
      <c r="I965">
        <v>100.33</v>
      </c>
      <c r="J965" s="8">
        <f t="shared" si="208"/>
        <v>3.4756600660066056E-2</v>
      </c>
      <c r="K965" s="8">
        <f t="shared" si="209"/>
        <v>8.829591061937303E-2</v>
      </c>
      <c r="L965" s="6">
        <f t="shared" si="207"/>
        <v>3.4654600660066058E-2</v>
      </c>
      <c r="N965" s="15">
        <v>1.02E-4</v>
      </c>
      <c r="O965" s="8">
        <f>(I965 - MAX(I962:I965)) / MAX(I962:I965)</f>
        <v>0</v>
      </c>
      <c r="P965" s="15">
        <v>-2.2100000000000002E-2</v>
      </c>
    </row>
    <row r="966" spans="1:19" x14ac:dyDescent="0.3">
      <c r="A966" s="2">
        <v>42125</v>
      </c>
      <c r="B966">
        <v>2015</v>
      </c>
      <c r="C966">
        <v>5</v>
      </c>
      <c r="D966" t="s">
        <v>55</v>
      </c>
      <c r="E966" t="s">
        <v>29</v>
      </c>
      <c r="F966" t="s">
        <v>23</v>
      </c>
      <c r="G966" t="s">
        <v>32</v>
      </c>
      <c r="H966" t="s">
        <v>12</v>
      </c>
      <c r="I966">
        <v>104.15</v>
      </c>
      <c r="J966" s="8">
        <f t="shared" si="208"/>
        <v>3.8074354629721995E-2</v>
      </c>
      <c r="K966" s="8">
        <f t="shared" si="209"/>
        <v>0.12973207506237117</v>
      </c>
      <c r="L966" s="6">
        <f t="shared" si="207"/>
        <v>3.7611354629721996E-2</v>
      </c>
      <c r="N966" s="15">
        <v>4.6299999999999998E-4</v>
      </c>
      <c r="O966" s="8">
        <f>(I966 - MAX(I962:I966)) / MAX(I962:I966)</f>
        <v>0</v>
      </c>
      <c r="P966" s="15">
        <v>-1.24E-2</v>
      </c>
    </row>
    <row r="967" spans="1:19" x14ac:dyDescent="0.3">
      <c r="A967" s="2">
        <v>42156</v>
      </c>
      <c r="B967">
        <v>2015</v>
      </c>
      <c r="C967">
        <v>6</v>
      </c>
      <c r="D967" t="s">
        <v>55</v>
      </c>
      <c r="E967" t="s">
        <v>29</v>
      </c>
      <c r="F967" t="s">
        <v>23</v>
      </c>
      <c r="G967" t="s">
        <v>32</v>
      </c>
      <c r="H967" t="s">
        <v>12</v>
      </c>
      <c r="I967">
        <v>100.77</v>
      </c>
      <c r="J967" s="8">
        <f t="shared" si="208"/>
        <v>-3.2453192510801816E-2</v>
      </c>
      <c r="K967" s="8">
        <f t="shared" si="209"/>
        <v>9.3068662544744329E-2</v>
      </c>
      <c r="L967" s="6">
        <f t="shared" si="207"/>
        <v>-3.3114192510801818E-2</v>
      </c>
      <c r="N967" s="15">
        <v>6.6100000000000002E-4</v>
      </c>
      <c r="O967" s="8">
        <f>(I967 - MAX(I962:I967)) / MAX(I962:I967)</f>
        <v>-3.2453192510801816E-2</v>
      </c>
      <c r="P967" s="15">
        <v>-4.0999999999999988E-2</v>
      </c>
    </row>
    <row r="968" spans="1:19" x14ac:dyDescent="0.3">
      <c r="A968" s="2">
        <v>42186</v>
      </c>
      <c r="B968">
        <v>2015</v>
      </c>
      <c r="C968">
        <v>7</v>
      </c>
      <c r="D968" t="s">
        <v>55</v>
      </c>
      <c r="E968" t="s">
        <v>29</v>
      </c>
      <c r="F968" t="s">
        <v>23</v>
      </c>
      <c r="G968" t="s">
        <v>32</v>
      </c>
      <c r="H968" t="s">
        <v>12</v>
      </c>
      <c r="I968">
        <v>105.77</v>
      </c>
      <c r="J968" s="8">
        <f t="shared" si="208"/>
        <v>4.9617941847772157E-2</v>
      </c>
      <c r="K968" s="8">
        <f t="shared" si="209"/>
        <v>0.1473044798785117</v>
      </c>
      <c r="L968" s="6">
        <f t="shared" si="207"/>
        <v>4.9025941847772155E-2</v>
      </c>
      <c r="N968" s="15">
        <v>5.9199999999999997E-4</v>
      </c>
      <c r="O968" s="8">
        <f>(I968 - MAX(I962:I968)) / MAX(I962:I968)</f>
        <v>0</v>
      </c>
      <c r="P968" s="15">
        <v>5.1499999999999997E-2</v>
      </c>
    </row>
    <row r="969" spans="1:19" x14ac:dyDescent="0.3">
      <c r="A969" s="2">
        <v>42217</v>
      </c>
      <c r="B969">
        <v>2015</v>
      </c>
      <c r="C969">
        <v>8</v>
      </c>
      <c r="D969" t="s">
        <v>55</v>
      </c>
      <c r="E969" t="s">
        <v>29</v>
      </c>
      <c r="F969" t="s">
        <v>23</v>
      </c>
      <c r="G969" t="s">
        <v>32</v>
      </c>
      <c r="H969" t="s">
        <v>12</v>
      </c>
      <c r="I969">
        <v>85.75</v>
      </c>
      <c r="J969" s="8">
        <f t="shared" si="208"/>
        <v>-0.18927862342819321</v>
      </c>
      <c r="K969" s="8">
        <f t="shared" si="209"/>
        <v>-6.9855732725892183E-2</v>
      </c>
      <c r="L969" s="6">
        <f t="shared" si="207"/>
        <v>-0.18978562342819322</v>
      </c>
      <c r="N969" s="15">
        <v>5.0699999999999996E-4</v>
      </c>
      <c r="O969" s="8">
        <f>(I969 - MAX(I962:I969)) / MAX(I962:I969)</f>
        <v>-0.18927862342819321</v>
      </c>
      <c r="P969" s="15">
        <v>-9.1899999999999996E-2</v>
      </c>
    </row>
    <row r="970" spans="1:19" x14ac:dyDescent="0.3">
      <c r="A970" s="2">
        <v>42248</v>
      </c>
      <c r="B970">
        <v>2015</v>
      </c>
      <c r="C970">
        <v>9</v>
      </c>
      <c r="D970" t="s">
        <v>55</v>
      </c>
      <c r="E970" t="s">
        <v>29</v>
      </c>
      <c r="F970" t="s">
        <v>23</v>
      </c>
      <c r="G970" t="s">
        <v>32</v>
      </c>
      <c r="H970" t="s">
        <v>12</v>
      </c>
      <c r="I970">
        <v>88.75</v>
      </c>
      <c r="J970" s="8">
        <f t="shared" si="208"/>
        <v>3.4985422740524783E-2</v>
      </c>
      <c r="K970" s="8">
        <f t="shared" si="209"/>
        <v>-3.7314242325631741E-2</v>
      </c>
      <c r="L970" s="6">
        <f t="shared" si="207"/>
        <v>3.4440422740524786E-2</v>
      </c>
      <c r="N970" s="15">
        <v>5.4500000000000002E-4</v>
      </c>
      <c r="O970" s="8">
        <f>(I970 - MAX(I962:I970)) / MAX(I962:I970)</f>
        <v>-0.16091519334404839</v>
      </c>
      <c r="P970" s="15">
        <v>-5.1700000000000003E-2</v>
      </c>
    </row>
    <row r="971" spans="1:19" x14ac:dyDescent="0.3">
      <c r="A971" s="2">
        <v>42278</v>
      </c>
      <c r="B971">
        <v>2015</v>
      </c>
      <c r="C971">
        <v>10</v>
      </c>
      <c r="D971" t="s">
        <v>55</v>
      </c>
      <c r="E971" t="s">
        <v>29</v>
      </c>
      <c r="F971" t="s">
        <v>23</v>
      </c>
      <c r="G971" t="s">
        <v>32</v>
      </c>
      <c r="H971" t="s">
        <v>12</v>
      </c>
      <c r="I971">
        <v>97.43</v>
      </c>
      <c r="J971" s="8">
        <f t="shared" si="208"/>
        <v>9.7802816901408532E-2</v>
      </c>
      <c r="K971" s="8">
        <f t="shared" si="209"/>
        <v>5.6839136565788095E-2</v>
      </c>
      <c r="L971" s="6">
        <f t="shared" si="207"/>
        <v>9.737081690140853E-2</v>
      </c>
      <c r="N971" s="15">
        <v>4.3199999999999998E-4</v>
      </c>
      <c r="O971" s="8">
        <f>(I971 - MAX(I962:I971)) / MAX(I962:I971)</f>
        <v>-7.8850335633922561E-2</v>
      </c>
      <c r="P971" s="15">
        <v>0.1024</v>
      </c>
    </row>
    <row r="972" spans="1:19" x14ac:dyDescent="0.3">
      <c r="A972" s="2">
        <v>42309</v>
      </c>
      <c r="B972">
        <v>2015</v>
      </c>
      <c r="C972">
        <v>11</v>
      </c>
      <c r="D972" t="s">
        <v>55</v>
      </c>
      <c r="E972" t="s">
        <v>29</v>
      </c>
      <c r="F972" t="s">
        <v>23</v>
      </c>
      <c r="G972" t="s">
        <v>32</v>
      </c>
      <c r="H972" t="s">
        <v>12</v>
      </c>
      <c r="I972">
        <v>100.2</v>
      </c>
      <c r="J972" s="8">
        <f t="shared" si="208"/>
        <v>2.8430668172020897E-2</v>
      </c>
      <c r="K972" s="8">
        <f t="shared" si="209"/>
        <v>8.6885779368695237E-2</v>
      </c>
      <c r="L972" s="6">
        <f t="shared" si="207"/>
        <v>2.8000668172020897E-2</v>
      </c>
      <c r="N972" s="15">
        <v>4.2999999999999999E-4</v>
      </c>
      <c r="O972" s="8">
        <f>(I972 - MAX(I962:I972)) / MAX(I962:I972)</f>
        <v>-5.2661435189562192E-2</v>
      </c>
      <c r="P972" s="15">
        <v>2.58E-2</v>
      </c>
    </row>
    <row r="973" spans="1:19" x14ac:dyDescent="0.3">
      <c r="A973" s="2">
        <v>42339</v>
      </c>
      <c r="B973">
        <v>2015</v>
      </c>
      <c r="C973">
        <v>12</v>
      </c>
      <c r="D973" t="s">
        <v>55</v>
      </c>
      <c r="E973" t="s">
        <v>29</v>
      </c>
      <c r="F973" t="s">
        <v>23</v>
      </c>
      <c r="G973" t="s">
        <v>32</v>
      </c>
      <c r="H973" t="s">
        <v>12</v>
      </c>
      <c r="I973">
        <v>96.5</v>
      </c>
      <c r="J973" s="8">
        <f t="shared" si="208"/>
        <v>-3.6926147704590843E-2</v>
      </c>
      <c r="K973" s="8">
        <f t="shared" si="209"/>
        <v>4.6751274541707577E-2</v>
      </c>
      <c r="L973" s="6">
        <f t="shared" si="207"/>
        <v>-3.7381147704590841E-2</v>
      </c>
      <c r="M973">
        <f t="shared" ref="M973:M1004" si="210">(AVERAGE(J962:J973)-AVERAGE(N962:N973))/STDEV(J962:J973)</f>
        <v>8.1106941803299359E-2</v>
      </c>
      <c r="N973" s="15">
        <v>4.55E-4</v>
      </c>
      <c r="O973" s="8">
        <f>(I973 - MAX(I962:I973)) / MAX(I962:I973)</f>
        <v>-8.7642998960007532E-2</v>
      </c>
      <c r="P973" s="15">
        <v>-6.2300000000000001E-2</v>
      </c>
      <c r="Q973">
        <f t="shared" ref="Q973:Q1004" si="211" xml:space="preserve"> _xlfn.COVARIANCE.P(J962:J973, P962:P973) / _xlfn.VAR.P(P962:P973)</f>
        <v>0.87404849604809531</v>
      </c>
      <c r="R973">
        <f t="shared" ref="R973:R1004" si="212">AVERAGE(J962:J973)-(AVERAGE(N962:N973)+Q973*(AVERAGE(P962:P973)-AVERAGE(N962:N973)))</f>
        <v>2.2694695645894139E-3</v>
      </c>
      <c r="S973" s="15">
        <f t="shared" ref="S973:S1004" si="213">STDEV(J962:J973)</f>
        <v>8.1636467136144225E-2</v>
      </c>
    </row>
    <row r="974" spans="1:19" x14ac:dyDescent="0.3">
      <c r="A974" s="2">
        <v>42370</v>
      </c>
      <c r="B974">
        <v>2016</v>
      </c>
      <c r="C974">
        <v>1</v>
      </c>
      <c r="D974" t="s">
        <v>55</v>
      </c>
      <c r="E974" t="s">
        <v>29</v>
      </c>
      <c r="F974" t="s">
        <v>23</v>
      </c>
      <c r="G974" t="s">
        <v>32</v>
      </c>
      <c r="H974" t="s">
        <v>12</v>
      </c>
      <c r="I974">
        <v>95.51</v>
      </c>
      <c r="J974" s="8">
        <f t="shared" si="208"/>
        <v>-1.02590673575129E-2</v>
      </c>
      <c r="K974" s="8">
        <f t="shared" si="209"/>
        <v>3.6012582709621599E-2</v>
      </c>
      <c r="L974" s="6">
        <f t="shared" si="207"/>
        <v>-1.06180673575129E-2</v>
      </c>
      <c r="M974">
        <f t="shared" si="210"/>
        <v>0.13390991898432303</v>
      </c>
      <c r="N974" s="15">
        <v>3.59E-4</v>
      </c>
      <c r="O974" s="8">
        <f>(I974 - MAX(I962:I974)) / MAX(I962:I974)</f>
        <v>-9.7002930887775285E-2</v>
      </c>
      <c r="P974" s="15">
        <v>-7.3899999999999993E-2</v>
      </c>
      <c r="Q974">
        <f t="shared" si="211"/>
        <v>0.98914773659292476</v>
      </c>
      <c r="R974">
        <f t="shared" si="212"/>
        <v>1.7161423507692848E-2</v>
      </c>
      <c r="S974" s="15">
        <f t="shared" si="213"/>
        <v>7.928937832101389E-2</v>
      </c>
    </row>
    <row r="975" spans="1:19" x14ac:dyDescent="0.3">
      <c r="A975" s="2">
        <v>42401</v>
      </c>
      <c r="B975">
        <v>2016</v>
      </c>
      <c r="C975">
        <v>2</v>
      </c>
      <c r="D975" t="s">
        <v>55</v>
      </c>
      <c r="E975" t="s">
        <v>29</v>
      </c>
      <c r="F975" t="s">
        <v>23</v>
      </c>
      <c r="G975" t="s">
        <v>32</v>
      </c>
      <c r="H975" t="s">
        <v>12</v>
      </c>
      <c r="I975">
        <v>96.64</v>
      </c>
      <c r="J975" s="8">
        <f t="shared" si="208"/>
        <v>1.1831221861585126E-2</v>
      </c>
      <c r="K975" s="8">
        <f t="shared" si="209"/>
        <v>4.826987742705291E-2</v>
      </c>
      <c r="L975" s="6">
        <f t="shared" si="207"/>
        <v>1.1687221861585126E-2</v>
      </c>
      <c r="M975">
        <f t="shared" si="210"/>
        <v>1.745459069769946E-2</v>
      </c>
      <c r="N975" s="15">
        <v>1.44E-4</v>
      </c>
      <c r="O975" s="8">
        <f>(I975 - MAX(I962:I975)) / MAX(I962:I975)</f>
        <v>-8.6319372222747437E-2</v>
      </c>
      <c r="P975" s="15">
        <v>-3.2599999999999997E-2</v>
      </c>
      <c r="Q975">
        <f t="shared" si="211"/>
        <v>0.89049824755518003</v>
      </c>
      <c r="R975">
        <f t="shared" si="212"/>
        <v>1.5023018755472071E-2</v>
      </c>
      <c r="S975" s="15">
        <f t="shared" si="213"/>
        <v>7.0852187208391773E-2</v>
      </c>
    </row>
    <row r="976" spans="1:19" x14ac:dyDescent="0.3">
      <c r="A976" s="2">
        <v>42430</v>
      </c>
      <c r="B976">
        <v>2016</v>
      </c>
      <c r="C976">
        <v>3</v>
      </c>
      <c r="D976" t="s">
        <v>55</v>
      </c>
      <c r="E976" t="s">
        <v>29</v>
      </c>
      <c r="F976" t="s">
        <v>23</v>
      </c>
      <c r="G976" t="s">
        <v>32</v>
      </c>
      <c r="H976" t="s">
        <v>12</v>
      </c>
      <c r="I976">
        <v>104.01</v>
      </c>
      <c r="J976" s="8">
        <f t="shared" si="208"/>
        <v>7.6262417218543099E-2</v>
      </c>
      <c r="K976" s="8">
        <f t="shared" si="209"/>
        <v>0.12821347217702583</v>
      </c>
      <c r="L976" s="6">
        <f t="shared" si="207"/>
        <v>7.6119417218543095E-2</v>
      </c>
      <c r="M976">
        <f t="shared" si="210"/>
        <v>0.11046108056955188</v>
      </c>
      <c r="N976" s="15">
        <v>1.4300000000000001E-4</v>
      </c>
      <c r="O976" s="8">
        <f>(I976 - MAX(I962:I976)) / MAX(I962:I976)</f>
        <v>-1.6639878982698222E-2</v>
      </c>
      <c r="P976" s="15">
        <v>2.01E-2</v>
      </c>
      <c r="Q976">
        <f t="shared" si="211"/>
        <v>0.99122447545696191</v>
      </c>
      <c r="R976">
        <f t="shared" si="212"/>
        <v>2.410427706282349E-2</v>
      </c>
      <c r="S976" s="15">
        <f t="shared" si="213"/>
        <v>7.3941135741493857E-2</v>
      </c>
    </row>
    <row r="977" spans="1:19" x14ac:dyDescent="0.3">
      <c r="A977" s="2">
        <v>42461</v>
      </c>
      <c r="B977">
        <v>2016</v>
      </c>
      <c r="C977">
        <v>4</v>
      </c>
      <c r="D977" t="s">
        <v>55</v>
      </c>
      <c r="E977" t="s">
        <v>29</v>
      </c>
      <c r="F977" t="s">
        <v>23</v>
      </c>
      <c r="G977" t="s">
        <v>32</v>
      </c>
      <c r="H977" t="s">
        <v>12</v>
      </c>
      <c r="I977">
        <v>100.89</v>
      </c>
      <c r="J977" s="8">
        <f t="shared" si="208"/>
        <v>-2.9997115661955624E-2</v>
      </c>
      <c r="K977" s="8">
        <f t="shared" si="209"/>
        <v>9.4370322160755027E-2</v>
      </c>
      <c r="L977" s="6">
        <f t="shared" si="207"/>
        <v>-3.0109115661955625E-2</v>
      </c>
      <c r="M977">
        <f t="shared" si="210"/>
        <v>3.7330788027581219E-2</v>
      </c>
      <c r="N977" s="15">
        <v>1.12E-4</v>
      </c>
      <c r="O977" s="8">
        <f>(I977 - MAX(I962:I977)) / MAX(I962:I977)</f>
        <v>-4.61378462702089E-2</v>
      </c>
      <c r="P977" s="15">
        <v>7.7000000000000002E-3</v>
      </c>
      <c r="Q977">
        <f t="shared" si="211"/>
        <v>0.96309097098402752</v>
      </c>
      <c r="R977">
        <f t="shared" si="212"/>
        <v>1.5864103915647444E-2</v>
      </c>
      <c r="S977" s="15">
        <f t="shared" si="213"/>
        <v>7.4218668792360012E-2</v>
      </c>
    </row>
    <row r="978" spans="1:19" x14ac:dyDescent="0.3">
      <c r="A978" s="2">
        <v>42491</v>
      </c>
      <c r="B978">
        <v>2016</v>
      </c>
      <c r="C978">
        <v>5</v>
      </c>
      <c r="D978" t="s">
        <v>55</v>
      </c>
      <c r="E978" t="s">
        <v>29</v>
      </c>
      <c r="F978" t="s">
        <v>23</v>
      </c>
      <c r="G978" t="s">
        <v>32</v>
      </c>
      <c r="H978" t="s">
        <v>12</v>
      </c>
      <c r="I978">
        <v>106.66</v>
      </c>
      <c r="J978" s="8">
        <f t="shared" si="208"/>
        <v>5.719100009911781E-2</v>
      </c>
      <c r="K978" s="8">
        <f t="shared" si="209"/>
        <v>0.15695845536392228</v>
      </c>
      <c r="L978" s="6">
        <f t="shared" si="207"/>
        <v>5.708000009911781E-2</v>
      </c>
      <c r="M978">
        <f t="shared" si="210"/>
        <v>5.8391459004219583E-2</v>
      </c>
      <c r="N978" s="15">
        <v>1.11E-4</v>
      </c>
      <c r="O978" s="8">
        <f>(I978 - MAX(I962:I978)) / MAX(I962:I978)</f>
        <v>0</v>
      </c>
      <c r="P978" s="15">
        <v>1.1599999999999999E-2</v>
      </c>
      <c r="Q978">
        <f t="shared" si="211"/>
        <v>0.98326074128576457</v>
      </c>
      <c r="R978">
        <f t="shared" si="212"/>
        <v>1.5765340310142546E-2</v>
      </c>
      <c r="S978" s="15">
        <f t="shared" si="213"/>
        <v>7.5234093988112996E-2</v>
      </c>
    </row>
    <row r="979" spans="1:19" x14ac:dyDescent="0.3">
      <c r="A979" s="2">
        <v>42522</v>
      </c>
      <c r="B979">
        <v>2016</v>
      </c>
      <c r="C979">
        <v>6</v>
      </c>
      <c r="D979" t="s">
        <v>55</v>
      </c>
      <c r="E979" t="s">
        <v>29</v>
      </c>
      <c r="F979" t="s">
        <v>23</v>
      </c>
      <c r="G979" t="s">
        <v>32</v>
      </c>
      <c r="H979" t="s">
        <v>12</v>
      </c>
      <c r="I979">
        <v>111.61</v>
      </c>
      <c r="J979" s="8">
        <f t="shared" si="208"/>
        <v>4.6409150571910772E-2</v>
      </c>
      <c r="K979" s="8">
        <f t="shared" si="209"/>
        <v>0.21065191452435195</v>
      </c>
      <c r="L979" s="6">
        <f t="shared" si="207"/>
        <v>4.6423150571910772E-2</v>
      </c>
      <c r="M979">
        <f t="shared" si="210"/>
        <v>0.14669121954367004</v>
      </c>
      <c r="N979" s="15">
        <v>-1.4E-5</v>
      </c>
      <c r="O979" s="8">
        <f>(I979 - MAX(I962:I979)) / MAX(I962:I979)</f>
        <v>0</v>
      </c>
      <c r="P979" s="15">
        <v>-6.4899999999999999E-2</v>
      </c>
      <c r="Q979">
        <f t="shared" si="211"/>
        <v>0.8491073837301274</v>
      </c>
      <c r="R979">
        <f t="shared" si="212"/>
        <v>2.2485222261920908E-2</v>
      </c>
      <c r="S979" s="15">
        <f t="shared" si="213"/>
        <v>7.5131561879917999E-2</v>
      </c>
    </row>
    <row r="980" spans="1:19" x14ac:dyDescent="0.3">
      <c r="A980" s="2">
        <v>42552</v>
      </c>
      <c r="B980">
        <v>2016</v>
      </c>
      <c r="C980">
        <v>7</v>
      </c>
      <c r="D980" t="s">
        <v>55</v>
      </c>
      <c r="E980" t="s">
        <v>29</v>
      </c>
      <c r="F980" t="s">
        <v>23</v>
      </c>
      <c r="G980" t="s">
        <v>32</v>
      </c>
      <c r="H980" t="s">
        <v>12</v>
      </c>
      <c r="I980">
        <v>110.99</v>
      </c>
      <c r="J980" s="8">
        <f t="shared" si="208"/>
        <v>-5.5550577905206034E-3</v>
      </c>
      <c r="K980" s="8">
        <f t="shared" si="209"/>
        <v>0.20392667317496471</v>
      </c>
      <c r="L980" s="6">
        <f t="shared" si="207"/>
        <v>-5.4260577905206036E-3</v>
      </c>
      <c r="M980">
        <f t="shared" si="210"/>
        <v>8.7308675362067045E-2</v>
      </c>
      <c r="N980" s="15">
        <v>-1.2899999999999999E-4</v>
      </c>
      <c r="O980" s="8">
        <f>(I980 - MAX(I962:I980)) / MAX(I962:I980)</f>
        <v>-5.5550577905206034E-3</v>
      </c>
      <c r="P980" s="15">
        <v>4.3999999999999997E-2</v>
      </c>
      <c r="Q980">
        <f t="shared" si="211"/>
        <v>0.77649039582841806</v>
      </c>
      <c r="R980">
        <f t="shared" si="212"/>
        <v>1.740578183218297E-2</v>
      </c>
      <c r="S980" s="15">
        <f t="shared" si="213"/>
        <v>7.4259216223069108E-2</v>
      </c>
    </row>
    <row r="981" spans="1:19" x14ac:dyDescent="0.3">
      <c r="A981" s="2">
        <v>42583</v>
      </c>
      <c r="B981">
        <v>2016</v>
      </c>
      <c r="C981">
        <v>8</v>
      </c>
      <c r="D981" t="s">
        <v>55</v>
      </c>
      <c r="E981" t="s">
        <v>29</v>
      </c>
      <c r="F981" t="s">
        <v>23</v>
      </c>
      <c r="G981" t="s">
        <v>32</v>
      </c>
      <c r="H981" t="s">
        <v>12</v>
      </c>
      <c r="I981">
        <v>111.45</v>
      </c>
      <c r="J981" s="8">
        <f t="shared" si="208"/>
        <v>4.1445175241013425E-3</v>
      </c>
      <c r="K981" s="8">
        <f t="shared" si="209"/>
        <v>0.20891636836967131</v>
      </c>
      <c r="L981" s="6">
        <f t="shared" si="207"/>
        <v>4.2545175241013424E-3</v>
      </c>
      <c r="M981">
        <f t="shared" si="210"/>
        <v>0.54330385137695369</v>
      </c>
      <c r="N981" s="15">
        <v>-1.1E-4</v>
      </c>
      <c r="O981" s="8">
        <f>(I981 - MAX(I962:I981)) / MAX(I962:I981)</f>
        <v>-1.4335633007794696E-3</v>
      </c>
      <c r="P981" s="15">
        <v>1.0800000000000001E-2</v>
      </c>
      <c r="Q981">
        <f t="shared" si="211"/>
        <v>0.38381315494718543</v>
      </c>
      <c r="R981">
        <f t="shared" si="212"/>
        <v>2.4747762027855343E-2</v>
      </c>
      <c r="S981" s="15">
        <f t="shared" si="213"/>
        <v>4.1695794149945467E-2</v>
      </c>
    </row>
    <row r="982" spans="1:19" x14ac:dyDescent="0.3">
      <c r="A982" s="2">
        <v>42614</v>
      </c>
      <c r="B982">
        <v>2016</v>
      </c>
      <c r="C982">
        <v>9</v>
      </c>
      <c r="D982" t="s">
        <v>55</v>
      </c>
      <c r="E982" t="s">
        <v>29</v>
      </c>
      <c r="F982" t="s">
        <v>23</v>
      </c>
      <c r="G982" t="s">
        <v>32</v>
      </c>
      <c r="H982" t="s">
        <v>12</v>
      </c>
      <c r="I982">
        <v>110.01</v>
      </c>
      <c r="J982" s="8">
        <f t="shared" si="208"/>
        <v>-1.2920592193808863E-2</v>
      </c>
      <c r="K982" s="8">
        <f t="shared" si="209"/>
        <v>0.1932964529775465</v>
      </c>
      <c r="L982" s="6">
        <f t="shared" si="207"/>
        <v>-1.2850592193808862E-2</v>
      </c>
      <c r="M982">
        <f t="shared" si="210"/>
        <v>0.43812731952887723</v>
      </c>
      <c r="N982" s="15">
        <v>-6.9999999999999994E-5</v>
      </c>
      <c r="O982" s="8">
        <f>(I982 - MAX(I962:I982)) / MAX(I962:I982)</f>
        <v>-1.4335633007794949E-2</v>
      </c>
      <c r="P982" s="15">
        <v>-6.8999999999999999E-3</v>
      </c>
      <c r="Q982">
        <f t="shared" si="211"/>
        <v>0.44332187329034678</v>
      </c>
      <c r="R982">
        <f t="shared" si="212"/>
        <v>1.945376486534358E-2</v>
      </c>
      <c r="S982" s="15">
        <f t="shared" si="213"/>
        <v>4.2710341954510796E-2</v>
      </c>
    </row>
    <row r="983" spans="1:19" x14ac:dyDescent="0.3">
      <c r="A983" s="2">
        <v>42644</v>
      </c>
      <c r="B983">
        <v>2016</v>
      </c>
      <c r="C983">
        <v>10</v>
      </c>
      <c r="D983" t="s">
        <v>55</v>
      </c>
      <c r="E983" t="s">
        <v>29</v>
      </c>
      <c r="F983" t="s">
        <v>23</v>
      </c>
      <c r="G983" t="s">
        <v>32</v>
      </c>
      <c r="H983" t="s">
        <v>12</v>
      </c>
      <c r="I983">
        <v>108.74</v>
      </c>
      <c r="J983" s="8">
        <f t="shared" si="208"/>
        <v>-1.1544405054086085E-2</v>
      </c>
      <c r="K983" s="8">
        <f t="shared" si="209"/>
        <v>0.17952055537476963</v>
      </c>
      <c r="L983" s="6">
        <f t="shared" si="207"/>
        <v>-1.1546405054086085E-2</v>
      </c>
      <c r="M983">
        <f t="shared" si="210"/>
        <v>0.27241556000609396</v>
      </c>
      <c r="N983" s="15">
        <v>1.9999999999999999E-6</v>
      </c>
      <c r="O983" s="8">
        <f>(I983 - MAX(I962:I983)) / MAX(I962:I983)</f>
        <v>-2.5714541707732325E-2</v>
      </c>
      <c r="P983" s="15">
        <v>1.77E-2</v>
      </c>
      <c r="Q983">
        <f t="shared" si="211"/>
        <v>0.17509915278548804</v>
      </c>
      <c r="R983">
        <f t="shared" si="212"/>
        <v>1.1158517466031038E-2</v>
      </c>
      <c r="S983" s="15">
        <f t="shared" si="213"/>
        <v>3.5372915091627349E-2</v>
      </c>
    </row>
    <row r="984" spans="1:19" x14ac:dyDescent="0.3">
      <c r="A984" s="2">
        <v>42675</v>
      </c>
      <c r="B984">
        <v>2016</v>
      </c>
      <c r="C984">
        <v>11</v>
      </c>
      <c r="D984" t="s">
        <v>55</v>
      </c>
      <c r="E984" t="s">
        <v>29</v>
      </c>
      <c r="F984" t="s">
        <v>23</v>
      </c>
      <c r="G984" t="s">
        <v>32</v>
      </c>
      <c r="H984" t="s">
        <v>12</v>
      </c>
      <c r="I984">
        <v>113.68</v>
      </c>
      <c r="J984" s="8">
        <f t="shared" si="208"/>
        <v>4.5429464778370537E-2</v>
      </c>
      <c r="K984" s="8">
        <f t="shared" si="209"/>
        <v>0.23310554290053198</v>
      </c>
      <c r="L984" s="6">
        <f t="shared" si="207"/>
        <v>4.5271464778370539E-2</v>
      </c>
      <c r="M984">
        <f t="shared" si="210"/>
        <v>0.30334451245260108</v>
      </c>
      <c r="N984" s="15">
        <v>1.5799999999999999E-4</v>
      </c>
      <c r="O984" s="8">
        <f>(I984 - MAX(I962:I984)) / MAX(I962:I984)</f>
        <v>0</v>
      </c>
      <c r="P984" s="15">
        <v>-1.1999999999999999E-3</v>
      </c>
      <c r="Q984">
        <f t="shared" si="211"/>
        <v>0.16692623162230719</v>
      </c>
      <c r="R984">
        <f t="shared" si="212"/>
        <v>1.2898492094483748E-2</v>
      </c>
      <c r="S984" s="15">
        <f t="shared" si="213"/>
        <v>3.6510848456483586E-2</v>
      </c>
    </row>
    <row r="985" spans="1:19" x14ac:dyDescent="0.3">
      <c r="A985" s="2">
        <v>42705</v>
      </c>
      <c r="B985">
        <v>2016</v>
      </c>
      <c r="C985">
        <v>12</v>
      </c>
      <c r="D985" t="s">
        <v>55</v>
      </c>
      <c r="E985" t="s">
        <v>29</v>
      </c>
      <c r="F985" t="s">
        <v>23</v>
      </c>
      <c r="G985" t="s">
        <v>32</v>
      </c>
      <c r="H985" t="s">
        <v>12</v>
      </c>
      <c r="I985">
        <v>114.61</v>
      </c>
      <c r="J985" s="8">
        <f t="shared" si="208"/>
        <v>8.1808585503166126E-3</v>
      </c>
      <c r="K985" s="8">
        <f t="shared" si="209"/>
        <v>0.24319340492461272</v>
      </c>
      <c r="L985" s="6">
        <f t="shared" si="207"/>
        <v>7.9708585503166125E-3</v>
      </c>
      <c r="M985">
        <f t="shared" si="210"/>
        <v>0.44624031100785311</v>
      </c>
      <c r="N985" s="15">
        <v>2.1000000000000001E-4</v>
      </c>
      <c r="O985" s="8">
        <f>(I985 - MAX(I962:I985)) / MAX(I962:I985)</f>
        <v>0</v>
      </c>
      <c r="P985" s="15">
        <v>7.8299999999999995E-2</v>
      </c>
      <c r="Q985">
        <f t="shared" si="211"/>
        <v>-2.8321653722518776E-2</v>
      </c>
      <c r="R985">
        <f t="shared" si="212"/>
        <v>1.4877790967173531E-2</v>
      </c>
      <c r="S985" s="15">
        <f t="shared" si="213"/>
        <v>3.3288564507514919E-2</v>
      </c>
    </row>
    <row r="986" spans="1:19" x14ac:dyDescent="0.3">
      <c r="A986" s="2">
        <v>42736</v>
      </c>
      <c r="B986">
        <v>2017</v>
      </c>
      <c r="C986">
        <v>1</v>
      </c>
      <c r="D986" t="s">
        <v>55</v>
      </c>
      <c r="E986" t="s">
        <v>29</v>
      </c>
      <c r="F986" t="s">
        <v>23</v>
      </c>
      <c r="G986" t="s">
        <v>32</v>
      </c>
      <c r="H986" t="s">
        <v>12</v>
      </c>
      <c r="I986">
        <v>118.58</v>
      </c>
      <c r="J986" s="8">
        <f t="shared" si="208"/>
        <v>3.4639211238111846E-2</v>
      </c>
      <c r="K986" s="8">
        <f t="shared" si="209"/>
        <v>0.28625664388762373</v>
      </c>
      <c r="L986" s="6">
        <f t="shared" si="207"/>
        <v>3.4430211238111845E-2</v>
      </c>
      <c r="M986">
        <f t="shared" si="210"/>
        <v>0.56875728101887946</v>
      </c>
      <c r="N986" s="15">
        <v>2.0900000000000001E-4</v>
      </c>
      <c r="O986" s="8">
        <f>(I986 - MAX(I962:I986)) / MAX(I962:I986)</f>
        <v>0</v>
      </c>
      <c r="P986" s="15">
        <v>-1.8200000000000001E-2</v>
      </c>
      <c r="Q986">
        <f t="shared" si="211"/>
        <v>-0.2107746894288175</v>
      </c>
      <c r="R986">
        <f t="shared" si="212"/>
        <v>1.9761554758971414E-2</v>
      </c>
      <c r="S986" s="15">
        <f t="shared" si="213"/>
        <v>3.2718214282557542E-2</v>
      </c>
    </row>
    <row r="987" spans="1:19" x14ac:dyDescent="0.3">
      <c r="A987" s="2">
        <v>42767</v>
      </c>
      <c r="B987">
        <v>2017</v>
      </c>
      <c r="C987">
        <v>2</v>
      </c>
      <c r="D987" t="s">
        <v>55</v>
      </c>
      <c r="E987" t="s">
        <v>29</v>
      </c>
      <c r="F987" t="s">
        <v>23</v>
      </c>
      <c r="G987" t="s">
        <v>32</v>
      </c>
      <c r="H987" t="s">
        <v>12</v>
      </c>
      <c r="I987">
        <v>125.44</v>
      </c>
      <c r="J987" s="8">
        <f t="shared" si="208"/>
        <v>5.7851239669421482E-2</v>
      </c>
      <c r="K987" s="8">
        <f t="shared" si="209"/>
        <v>0.36066818526955235</v>
      </c>
      <c r="L987" s="6">
        <f t="shared" si="207"/>
        <v>5.7636239669421482E-2</v>
      </c>
      <c r="M987">
        <f t="shared" si="210"/>
        <v>0.65051469661919148</v>
      </c>
      <c r="N987" s="15">
        <v>2.1499999999999999E-4</v>
      </c>
      <c r="O987" s="8">
        <f>(I987 - MAX(I962:I987)) / MAX(I962:I987)</f>
        <v>0</v>
      </c>
      <c r="P987" s="15">
        <v>2.75E-2</v>
      </c>
      <c r="Q987">
        <f t="shared" si="211"/>
        <v>-0.20306871632424997</v>
      </c>
      <c r="R987">
        <f t="shared" si="212"/>
        <v>2.4564326087414712E-2</v>
      </c>
      <c r="S987" s="15">
        <f t="shared" si="213"/>
        <v>3.4492391223553229E-2</v>
      </c>
    </row>
    <row r="988" spans="1:19" x14ac:dyDescent="0.3">
      <c r="A988" s="2">
        <v>42795</v>
      </c>
      <c r="B988">
        <v>2017</v>
      </c>
      <c r="C988">
        <v>3</v>
      </c>
      <c r="D988" t="s">
        <v>55</v>
      </c>
      <c r="E988" t="s">
        <v>29</v>
      </c>
      <c r="F988" t="s">
        <v>23</v>
      </c>
      <c r="G988" t="s">
        <v>32</v>
      </c>
      <c r="H988" t="s">
        <v>12</v>
      </c>
      <c r="I988">
        <v>115.99</v>
      </c>
      <c r="J988" s="8">
        <f t="shared" si="208"/>
        <v>-7.5334821428571452E-2</v>
      </c>
      <c r="K988" s="8">
        <f t="shared" si="209"/>
        <v>0.2581624905087323</v>
      </c>
      <c r="L988" s="6">
        <f t="shared" si="207"/>
        <v>-7.5624821428571451E-2</v>
      </c>
      <c r="M988">
        <f t="shared" si="210"/>
        <v>0.24305433143518732</v>
      </c>
      <c r="N988" s="15">
        <v>2.9E-4</v>
      </c>
      <c r="O988" s="8">
        <f>(I988 - MAX(I962:I988)) / MAX(I962:I988)</f>
        <v>-7.5334821428571452E-2</v>
      </c>
      <c r="P988" s="15">
        <v>5.4600000000000003E-2</v>
      </c>
      <c r="Q988">
        <f t="shared" si="211"/>
        <v>-0.47447967684133679</v>
      </c>
      <c r="R988">
        <f t="shared" si="212"/>
        <v>1.6119482522654258E-2</v>
      </c>
      <c r="S988" s="15">
        <f t="shared" si="213"/>
        <v>4.0289157300941007E-2</v>
      </c>
    </row>
    <row r="989" spans="1:19" x14ac:dyDescent="0.3">
      <c r="A989" s="2">
        <v>42826</v>
      </c>
      <c r="B989">
        <v>2017</v>
      </c>
      <c r="C989">
        <v>4</v>
      </c>
      <c r="D989" t="s">
        <v>55</v>
      </c>
      <c r="E989" t="s">
        <v>29</v>
      </c>
      <c r="F989" t="s">
        <v>23</v>
      </c>
      <c r="G989" t="s">
        <v>32</v>
      </c>
      <c r="H989" t="s">
        <v>12</v>
      </c>
      <c r="I989">
        <v>125.21</v>
      </c>
      <c r="J989" s="8">
        <f t="shared" si="208"/>
        <v>7.9489611173377009E-2</v>
      </c>
      <c r="K989" s="8">
        <f t="shared" si="209"/>
        <v>0.35817333767219894</v>
      </c>
      <c r="L989" s="6">
        <f t="shared" si="207"/>
        <v>7.9301611173377015E-2</v>
      </c>
      <c r="M989">
        <f t="shared" si="210"/>
        <v>0.44223204177050152</v>
      </c>
      <c r="N989" s="15">
        <v>1.8799999999999999E-4</v>
      </c>
      <c r="O989" s="8">
        <f>(I989 - MAX(I962:I989)) / MAX(I962:I989)</f>
        <v>-1.8335459183673787E-3</v>
      </c>
      <c r="P989" s="15">
        <v>1.6799999999999999E-2</v>
      </c>
      <c r="Q989">
        <f t="shared" si="211"/>
        <v>-0.4804651639903107</v>
      </c>
      <c r="R989">
        <f t="shared" si="212"/>
        <v>2.5678167371555208E-2</v>
      </c>
      <c r="S989" s="15">
        <f t="shared" si="213"/>
        <v>4.2760390418050735E-2</v>
      </c>
    </row>
    <row r="990" spans="1:19" x14ac:dyDescent="0.3">
      <c r="A990" s="2">
        <v>42856</v>
      </c>
      <c r="B990">
        <v>2017</v>
      </c>
      <c r="C990">
        <v>5</v>
      </c>
      <c r="D990" t="s">
        <v>55</v>
      </c>
      <c r="E990" t="s">
        <v>29</v>
      </c>
      <c r="F990" t="s">
        <v>23</v>
      </c>
      <c r="G990" t="s">
        <v>32</v>
      </c>
      <c r="H990" t="s">
        <v>12</v>
      </c>
      <c r="I990">
        <v>140.63999999999999</v>
      </c>
      <c r="J990" s="8">
        <f t="shared" si="208"/>
        <v>0.12323296861273056</v>
      </c>
      <c r="K990" s="8">
        <f t="shared" si="209"/>
        <v>0.52554506996420436</v>
      </c>
      <c r="L990" s="6">
        <f t="shared" si="207"/>
        <v>0.12295296861273056</v>
      </c>
      <c r="M990">
        <f t="shared" si="210"/>
        <v>0.47393026180598902</v>
      </c>
      <c r="N990" s="15">
        <v>2.7999999999999998E-4</v>
      </c>
      <c r="O990" s="8">
        <f>(I990 - MAX(I962:I990)) / MAX(I962:I990)</f>
        <v>0</v>
      </c>
      <c r="P990" s="15">
        <v>-1.4E-3</v>
      </c>
      <c r="Q990">
        <f t="shared" si="211"/>
        <v>-0.56994044336364114</v>
      </c>
      <c r="R990">
        <f t="shared" si="212"/>
        <v>3.1802527708240609E-2</v>
      </c>
      <c r="S990" s="15">
        <f t="shared" si="213"/>
        <v>5.1483162757536109E-2</v>
      </c>
    </row>
    <row r="991" spans="1:19" x14ac:dyDescent="0.3">
      <c r="A991" s="2">
        <v>42887</v>
      </c>
      <c r="B991">
        <v>2017</v>
      </c>
      <c r="C991">
        <v>6</v>
      </c>
      <c r="D991" t="s">
        <v>55</v>
      </c>
      <c r="E991" t="s">
        <v>29</v>
      </c>
      <c r="F991" t="s">
        <v>23</v>
      </c>
      <c r="G991" t="s">
        <v>32</v>
      </c>
      <c r="H991" t="s">
        <v>12</v>
      </c>
      <c r="I991">
        <v>132.81</v>
      </c>
      <c r="J991" s="8">
        <f t="shared" si="208"/>
        <v>-5.567406143344699E-2</v>
      </c>
      <c r="K991" s="8">
        <f t="shared" si="209"/>
        <v>0.44061178001952506</v>
      </c>
      <c r="L991" s="6">
        <f t="shared" si="207"/>
        <v>-5.5883061433446991E-2</v>
      </c>
      <c r="M991">
        <f t="shared" si="210"/>
        <v>0.28453906697505932</v>
      </c>
      <c r="N991" s="15">
        <v>2.0900000000000001E-4</v>
      </c>
      <c r="O991" s="8">
        <f>(I991 - MAX(I962:I991)) / MAX(I962:I991)</f>
        <v>-5.567406143344699E-2</v>
      </c>
      <c r="P991" s="15">
        <v>-3.1699999999999999E-2</v>
      </c>
      <c r="Q991">
        <f t="shared" si="211"/>
        <v>-0.27537513042240402</v>
      </c>
      <c r="R991">
        <f t="shared" si="212"/>
        <v>2.0207581356333795E-2</v>
      </c>
      <c r="S991" s="15">
        <f t="shared" si="213"/>
        <v>5.5788160500848477E-2</v>
      </c>
    </row>
    <row r="992" spans="1:19" x14ac:dyDescent="0.3">
      <c r="A992" s="2">
        <v>42917</v>
      </c>
      <c r="B992">
        <v>2017</v>
      </c>
      <c r="C992">
        <v>7</v>
      </c>
      <c r="D992" t="s">
        <v>55</v>
      </c>
      <c r="E992" t="s">
        <v>29</v>
      </c>
      <c r="F992" t="s">
        <v>23</v>
      </c>
      <c r="G992" t="s">
        <v>32</v>
      </c>
      <c r="H992" t="s">
        <v>12</v>
      </c>
      <c r="I992">
        <v>137.21</v>
      </c>
      <c r="J992" s="8">
        <f t="shared" si="208"/>
        <v>3.3130035388901483E-2</v>
      </c>
      <c r="K992" s="8">
        <f t="shared" si="209"/>
        <v>0.48833929927324027</v>
      </c>
      <c r="L992" s="6">
        <f t="shared" si="207"/>
        <v>3.2750035388901484E-2</v>
      </c>
      <c r="M992">
        <f t="shared" si="210"/>
        <v>0.34304814767254921</v>
      </c>
      <c r="N992" s="15">
        <v>3.8000000000000002E-4</v>
      </c>
      <c r="O992" s="8">
        <f>(I992 - MAX(I962:I992)) / MAX(I962:I992)</f>
        <v>-2.4388509670079484E-2</v>
      </c>
      <c r="P992" s="15">
        <v>2.2000000000000001E-3</v>
      </c>
      <c r="Q992">
        <f t="shared" si="211"/>
        <v>-0.24573858794839304</v>
      </c>
      <c r="R992">
        <f t="shared" si="212"/>
        <v>2.2056109480398923E-2</v>
      </c>
      <c r="S992" s="15">
        <f t="shared" si="213"/>
        <v>5.5546874002189127E-2</v>
      </c>
    </row>
    <row r="993" spans="1:19" x14ac:dyDescent="0.3">
      <c r="A993" s="2">
        <v>42948</v>
      </c>
      <c r="B993">
        <v>2017</v>
      </c>
      <c r="C993">
        <v>8</v>
      </c>
      <c r="D993" t="s">
        <v>55</v>
      </c>
      <c r="E993" t="s">
        <v>29</v>
      </c>
      <c r="F993" t="s">
        <v>23</v>
      </c>
      <c r="G993" t="s">
        <v>32</v>
      </c>
      <c r="H993" t="s">
        <v>12</v>
      </c>
      <c r="I993">
        <v>141.44999999999999</v>
      </c>
      <c r="J993" s="8">
        <f t="shared" si="208"/>
        <v>3.0901537788790762E-2</v>
      </c>
      <c r="K993" s="8">
        <f t="shared" si="209"/>
        <v>0.53433127237227462</v>
      </c>
      <c r="L993" s="6">
        <f t="shared" si="207"/>
        <v>3.0613537788790762E-2</v>
      </c>
      <c r="M993">
        <f t="shared" si="210"/>
        <v>0.38344339862914611</v>
      </c>
      <c r="N993" s="15">
        <v>2.8800000000000001E-4</v>
      </c>
      <c r="O993" s="8">
        <f>(I993 - MAX(I962:I993)) / MAX(I962:I993)</f>
        <v>0</v>
      </c>
      <c r="P993" s="15">
        <v>-8.1000000000000013E-3</v>
      </c>
      <c r="Q993">
        <f t="shared" si="211"/>
        <v>-0.25768631879332127</v>
      </c>
      <c r="R993">
        <f t="shared" si="212"/>
        <v>2.398419266497399E-2</v>
      </c>
      <c r="S993" s="15">
        <f t="shared" si="213"/>
        <v>5.5423661832454674E-2</v>
      </c>
    </row>
    <row r="994" spans="1:19" x14ac:dyDescent="0.3">
      <c r="A994" s="2">
        <v>42979</v>
      </c>
      <c r="B994">
        <v>2017</v>
      </c>
      <c r="C994">
        <v>9</v>
      </c>
      <c r="D994" t="s">
        <v>55</v>
      </c>
      <c r="E994" t="s">
        <v>29</v>
      </c>
      <c r="F994" t="s">
        <v>23</v>
      </c>
      <c r="G994" t="s">
        <v>32</v>
      </c>
      <c r="H994" t="s">
        <v>12</v>
      </c>
      <c r="I994">
        <v>142.13999999999999</v>
      </c>
      <c r="J994" s="8">
        <f t="shared" si="208"/>
        <v>4.8780487804877893E-3</v>
      </c>
      <c r="K994" s="8">
        <f t="shared" si="209"/>
        <v>0.54181581516433441</v>
      </c>
      <c r="L994" s="6">
        <f t="shared" si="207"/>
        <v>4.5890487804877891E-3</v>
      </c>
      <c r="M994">
        <f t="shared" si="210"/>
        <v>0.41544117001218761</v>
      </c>
      <c r="N994" s="15">
        <v>2.8899999999999998E-4</v>
      </c>
      <c r="O994" s="8">
        <f>(I994 - MAX(I962:I994)) / MAX(I962:I994)</f>
        <v>0</v>
      </c>
      <c r="P994" s="15">
        <v>5.0700000000000002E-2</v>
      </c>
      <c r="Q994">
        <f t="shared" si="211"/>
        <v>-0.3528495611844632</v>
      </c>
      <c r="R994">
        <f t="shared" si="212"/>
        <v>2.8129673400902982E-2</v>
      </c>
      <c r="S994" s="15">
        <f t="shared" si="213"/>
        <v>5.4653082821251309E-2</v>
      </c>
    </row>
    <row r="995" spans="1:19" x14ac:dyDescent="0.3">
      <c r="A995" s="2">
        <v>43009</v>
      </c>
      <c r="B995">
        <v>2017</v>
      </c>
      <c r="C995">
        <v>10</v>
      </c>
      <c r="D995" t="s">
        <v>55</v>
      </c>
      <c r="E995" t="s">
        <v>29</v>
      </c>
      <c r="F995" t="s">
        <v>23</v>
      </c>
      <c r="G995" t="s">
        <v>32</v>
      </c>
      <c r="H995" t="s">
        <v>12</v>
      </c>
      <c r="I995">
        <v>151.02000000000001</v>
      </c>
      <c r="J995" s="8">
        <f t="shared" ref="J995:J1026" si="214">(I995-I994)/I994</f>
        <v>6.2473617560152135E-2</v>
      </c>
      <c r="K995" s="8">
        <f t="shared" ref="K995:K1026" si="215">(K994+1)*(J995+1)-1</f>
        <v>0.63813862674910515</v>
      </c>
      <c r="L995" s="6">
        <f t="shared" si="207"/>
        <v>6.2163617560152137E-2</v>
      </c>
      <c r="M995">
        <f t="shared" si="210"/>
        <v>0.52848848402746207</v>
      </c>
      <c r="N995" s="15">
        <v>3.1E-4</v>
      </c>
      <c r="O995" s="8">
        <f>(I995 - MAX(I962:I995)) / MAX(I962:I995)</f>
        <v>0</v>
      </c>
      <c r="P995" s="15">
        <v>1.8700000000000001E-2</v>
      </c>
      <c r="Q995">
        <f t="shared" si="211"/>
        <v>-0.33631599615971913</v>
      </c>
      <c r="R995">
        <f t="shared" si="212"/>
        <v>3.4037390745960135E-2</v>
      </c>
      <c r="S995" s="15">
        <f t="shared" si="213"/>
        <v>5.4585186675618194E-2</v>
      </c>
    </row>
    <row r="996" spans="1:19" x14ac:dyDescent="0.3">
      <c r="A996" s="2">
        <v>43040</v>
      </c>
      <c r="B996">
        <v>2017</v>
      </c>
      <c r="C996">
        <v>11</v>
      </c>
      <c r="D996" t="s">
        <v>55</v>
      </c>
      <c r="E996" t="s">
        <v>29</v>
      </c>
      <c r="F996" t="s">
        <v>23</v>
      </c>
      <c r="G996" t="s">
        <v>32</v>
      </c>
      <c r="H996" t="s">
        <v>12</v>
      </c>
      <c r="I996">
        <v>157.22</v>
      </c>
      <c r="J996" s="8">
        <f t="shared" si="214"/>
        <v>4.1054165011256707E-2</v>
      </c>
      <c r="K996" s="8">
        <f t="shared" si="215"/>
        <v>0.70539104024297661</v>
      </c>
      <c r="L996" s="6">
        <f t="shared" si="207"/>
        <v>4.0797165011256707E-2</v>
      </c>
      <c r="M996">
        <f t="shared" si="210"/>
        <v>0.52265812184615501</v>
      </c>
      <c r="N996" s="15">
        <v>2.5700000000000001E-4</v>
      </c>
      <c r="O996" s="8">
        <f>(I996 - MAX(I962:I996)) / MAX(I962:I996)</f>
        <v>0</v>
      </c>
      <c r="P996" s="15">
        <v>-2.52E-2</v>
      </c>
      <c r="Q996">
        <f t="shared" si="211"/>
        <v>-0.31857052156355942</v>
      </c>
      <c r="R996">
        <f t="shared" si="212"/>
        <v>3.2750929806031517E-2</v>
      </c>
      <c r="S996" s="15">
        <f t="shared" si="213"/>
        <v>5.4480707469057386E-2</v>
      </c>
    </row>
    <row r="997" spans="1:19" x14ac:dyDescent="0.3">
      <c r="A997" s="2">
        <v>43070</v>
      </c>
      <c r="B997">
        <v>2017</v>
      </c>
      <c r="C997">
        <v>12</v>
      </c>
      <c r="D997" t="s">
        <v>55</v>
      </c>
      <c r="E997" t="s">
        <v>29</v>
      </c>
      <c r="F997" t="s">
        <v>23</v>
      </c>
      <c r="G997" t="s">
        <v>32</v>
      </c>
      <c r="H997" t="s">
        <v>12</v>
      </c>
      <c r="I997">
        <v>157.78</v>
      </c>
      <c r="J997" s="8">
        <f t="shared" si="214"/>
        <v>3.5618878005342978E-3</v>
      </c>
      <c r="K997" s="8">
        <f t="shared" si="215"/>
        <v>0.7114654517843586</v>
      </c>
      <c r="L997" s="6">
        <f t="shared" si="207"/>
        <v>3.314887800534298E-3</v>
      </c>
      <c r="M997">
        <f t="shared" si="210"/>
        <v>0.51389079240667135</v>
      </c>
      <c r="N997" s="15">
        <v>2.4699999999999999E-4</v>
      </c>
      <c r="O997" s="8">
        <f>(I997 - MAX(I962:I997)) / MAX(I962:I997)</f>
        <v>0</v>
      </c>
      <c r="P997" s="15">
        <v>-1.8499999999999999E-2</v>
      </c>
      <c r="Q997">
        <f t="shared" si="211"/>
        <v>-0.22332949788025505</v>
      </c>
      <c r="R997">
        <f t="shared" si="212"/>
        <v>2.9282306703881451E-2</v>
      </c>
      <c r="S997" s="15">
        <f t="shared" si="213"/>
        <v>5.4655166224342036E-2</v>
      </c>
    </row>
    <row r="998" spans="1:19" x14ac:dyDescent="0.3">
      <c r="A998" s="2">
        <v>43101</v>
      </c>
      <c r="B998">
        <v>2018</v>
      </c>
      <c r="C998">
        <v>1</v>
      </c>
      <c r="D998" t="s">
        <v>55</v>
      </c>
      <c r="E998" t="s">
        <v>29</v>
      </c>
      <c r="F998" t="s">
        <v>23</v>
      </c>
      <c r="G998" t="s">
        <v>32</v>
      </c>
      <c r="H998" t="s">
        <v>12</v>
      </c>
      <c r="I998">
        <v>167.9</v>
      </c>
      <c r="J998" s="8">
        <f t="shared" si="214"/>
        <v>6.4139941690962127E-2</v>
      </c>
      <c r="K998" s="8">
        <f t="shared" si="215"/>
        <v>0.82123874606790337</v>
      </c>
      <c r="L998" s="6">
        <f t="shared" si="207"/>
        <v>6.374494169096212E-2</v>
      </c>
      <c r="M998">
        <f t="shared" si="210"/>
        <v>0.54890999445322841</v>
      </c>
      <c r="N998" s="15">
        <v>3.9500000000000001E-4</v>
      </c>
      <c r="O998" s="8">
        <f>(I998 - MAX(I962:I998)) / MAX(I962:I998)</f>
        <v>0</v>
      </c>
      <c r="P998" s="15">
        <v>3.0099999999999998E-2</v>
      </c>
      <c r="Q998">
        <f t="shared" si="211"/>
        <v>-0.12417456293710756</v>
      </c>
      <c r="R998">
        <f t="shared" si="212"/>
        <v>3.1692285925808812E-2</v>
      </c>
      <c r="S998" s="15">
        <f t="shared" si="213"/>
        <v>5.5618737485296464E-2</v>
      </c>
    </row>
    <row r="999" spans="1:19" x14ac:dyDescent="0.3">
      <c r="A999" s="2">
        <v>43132</v>
      </c>
      <c r="B999">
        <v>2018</v>
      </c>
      <c r="C999">
        <v>2</v>
      </c>
      <c r="D999" t="s">
        <v>55</v>
      </c>
      <c r="E999" t="s">
        <v>29</v>
      </c>
      <c r="F999" t="s">
        <v>23</v>
      </c>
      <c r="G999" t="s">
        <v>32</v>
      </c>
      <c r="H999" t="s">
        <v>12</v>
      </c>
      <c r="I999">
        <v>166.86</v>
      </c>
      <c r="J999" s="8">
        <f t="shared" si="214"/>
        <v>-6.1941631923763665E-3</v>
      </c>
      <c r="K999" s="8">
        <f t="shared" si="215"/>
        <v>0.80995769606247991</v>
      </c>
      <c r="L999" s="6">
        <f t="shared" si="207"/>
        <v>-6.7431631923763665E-3</v>
      </c>
      <c r="M999">
        <f t="shared" si="210"/>
        <v>0.45049485203075412</v>
      </c>
      <c r="N999" s="15">
        <v>5.4900000000000001E-4</v>
      </c>
      <c r="O999" s="8">
        <f>(I999 - MAX(I962:I999)) / MAX(I962:I999)</f>
        <v>-6.1941631923763665E-3</v>
      </c>
      <c r="P999" s="15">
        <v>-4.7199999999999999E-2</v>
      </c>
      <c r="Q999">
        <f t="shared" si="211"/>
        <v>1.1647670220983794E-2</v>
      </c>
      <c r="R999">
        <f t="shared" si="212"/>
        <v>2.5128508332957614E-2</v>
      </c>
      <c r="S999" s="15">
        <f t="shared" si="213"/>
        <v>5.5860195810514109E-2</v>
      </c>
    </row>
    <row r="1000" spans="1:19" x14ac:dyDescent="0.3">
      <c r="A1000" s="2">
        <v>43160</v>
      </c>
      <c r="B1000">
        <v>2018</v>
      </c>
      <c r="C1000">
        <v>3</v>
      </c>
      <c r="D1000" t="s">
        <v>55</v>
      </c>
      <c r="E1000" t="s">
        <v>29</v>
      </c>
      <c r="F1000" t="s">
        <v>23</v>
      </c>
      <c r="G1000" t="s">
        <v>32</v>
      </c>
      <c r="H1000" t="s">
        <v>12</v>
      </c>
      <c r="I1000">
        <v>173.35</v>
      </c>
      <c r="J1000" s="8">
        <f t="shared" si="214"/>
        <v>3.8894881936953014E-2</v>
      </c>
      <c r="K1000" s="8">
        <f t="shared" si="215"/>
        <v>0.88035578696170957</v>
      </c>
      <c r="L1000" s="6">
        <f t="shared" si="207"/>
        <v>3.8453881936953017E-2</v>
      </c>
      <c r="M1000">
        <f t="shared" si="210"/>
        <v>0.75406609993348006</v>
      </c>
      <c r="N1000" s="15">
        <v>4.4099999999999999E-4</v>
      </c>
      <c r="O1000" s="8">
        <f>(I1000 - MAX(I962:I1000)) / MAX(I962:I1000)</f>
        <v>0</v>
      </c>
      <c r="P1000" s="15">
        <v>-2.2499999999999999E-2</v>
      </c>
      <c r="Q1000">
        <f t="shared" si="211"/>
        <v>0.64589690926053533</v>
      </c>
      <c r="R1000">
        <f t="shared" si="212"/>
        <v>3.6820672699651953E-2</v>
      </c>
      <c r="S1000" s="15">
        <f t="shared" si="213"/>
        <v>4.5979111463728087E-2</v>
      </c>
    </row>
    <row r="1001" spans="1:19" x14ac:dyDescent="0.3">
      <c r="A1001" s="2">
        <v>43191</v>
      </c>
      <c r="B1001">
        <v>2018</v>
      </c>
      <c r="C1001">
        <v>4</v>
      </c>
      <c r="D1001" t="s">
        <v>55</v>
      </c>
      <c r="E1001" t="s">
        <v>29</v>
      </c>
      <c r="F1001" t="s">
        <v>23</v>
      </c>
      <c r="G1001" t="s">
        <v>32</v>
      </c>
      <c r="H1001" t="s">
        <v>12</v>
      </c>
      <c r="I1001">
        <v>184.79</v>
      </c>
      <c r="J1001" s="8">
        <f t="shared" si="214"/>
        <v>6.5993654456302273E-2</v>
      </c>
      <c r="K1001" s="8">
        <f t="shared" si="215"/>
        <v>1.0044473370213689</v>
      </c>
      <c r="L1001" s="6">
        <f t="shared" si="207"/>
        <v>6.5593654456302275E-2</v>
      </c>
      <c r="M1001">
        <f t="shared" si="210"/>
        <v>0.74599751490412636</v>
      </c>
      <c r="N1001" s="15">
        <v>4.0000000000000002E-4</v>
      </c>
      <c r="O1001" s="8">
        <f>(I1001 - MAX(I962:I1001)) / MAX(I962:I1001)</f>
        <v>0</v>
      </c>
      <c r="P1001" s="15">
        <v>5.21E-2</v>
      </c>
      <c r="Q1001">
        <f t="shared" si="211"/>
        <v>0.57755426562486389</v>
      </c>
      <c r="R1001">
        <f t="shared" si="212"/>
        <v>3.3762147068183354E-2</v>
      </c>
      <c r="S1001" s="15">
        <f t="shared" si="213"/>
        <v>4.4945135692236675E-2</v>
      </c>
    </row>
    <row r="1002" spans="1:19" x14ac:dyDescent="0.3">
      <c r="A1002" s="2">
        <v>43221</v>
      </c>
      <c r="B1002">
        <v>2018</v>
      </c>
      <c r="C1002">
        <v>5</v>
      </c>
      <c r="D1002" t="s">
        <v>55</v>
      </c>
      <c r="E1002" t="s">
        <v>29</v>
      </c>
      <c r="F1002" t="s">
        <v>23</v>
      </c>
      <c r="G1002" t="s">
        <v>32</v>
      </c>
      <c r="H1002" t="s">
        <v>12</v>
      </c>
      <c r="I1002">
        <v>201.6</v>
      </c>
      <c r="J1002" s="8">
        <f t="shared" si="214"/>
        <v>9.096812598084314E-2</v>
      </c>
      <c r="K1002" s="8">
        <f t="shared" si="215"/>
        <v>1.1867881548974943</v>
      </c>
      <c r="L1002" s="6">
        <f t="shared" si="207"/>
        <v>9.0593125980843139E-2</v>
      </c>
      <c r="M1002">
        <f t="shared" si="210"/>
        <v>0.77504306934204648</v>
      </c>
      <c r="N1002" s="15">
        <v>3.7500000000000001E-4</v>
      </c>
      <c r="O1002" s="8">
        <f>(I1002 - MAX(I962:I1002)) / MAX(I962:I1002)</f>
        <v>0</v>
      </c>
      <c r="P1002" s="15">
        <v>-3.6700000000000003E-2</v>
      </c>
      <c r="Q1002">
        <f t="shared" si="211"/>
        <v>0.35618225685473787</v>
      </c>
      <c r="R1002">
        <f t="shared" si="212"/>
        <v>3.2026703815432919E-2</v>
      </c>
      <c r="S1002" s="15">
        <f t="shared" si="213"/>
        <v>3.9781409834364879E-2</v>
      </c>
    </row>
    <row r="1003" spans="1:19" x14ac:dyDescent="0.3">
      <c r="A1003" s="2">
        <v>43252</v>
      </c>
      <c r="B1003">
        <v>2018</v>
      </c>
      <c r="C1003">
        <v>6</v>
      </c>
      <c r="D1003" t="s">
        <v>55</v>
      </c>
      <c r="E1003" t="s">
        <v>29</v>
      </c>
      <c r="F1003" t="s">
        <v>23</v>
      </c>
      <c r="G1003" t="s">
        <v>32</v>
      </c>
      <c r="H1003" t="s">
        <v>12</v>
      </c>
      <c r="I1003">
        <v>204.3</v>
      </c>
      <c r="J1003" s="8">
        <f t="shared" si="214"/>
        <v>1.3392857142857227E-2</v>
      </c>
      <c r="K1003" s="8">
        <f t="shared" si="215"/>
        <v>1.2160754962577287</v>
      </c>
      <c r="L1003" s="6">
        <f t="shared" si="207"/>
        <v>1.3119857142857226E-2</v>
      </c>
      <c r="M1003">
        <f t="shared" si="210"/>
        <v>1.2266400090938949</v>
      </c>
      <c r="N1003" s="15">
        <v>2.7300000000000002E-4</v>
      </c>
      <c r="O1003" s="8">
        <f>(I1003 - MAX(I962:I1003)) / MAX(I962:I1003)</f>
        <v>0</v>
      </c>
      <c r="P1003" s="15">
        <v>-3.2000000000000002E-3</v>
      </c>
      <c r="Q1003">
        <f t="shared" si="211"/>
        <v>0.1561585321554384</v>
      </c>
      <c r="R1003">
        <f t="shared" si="212"/>
        <v>3.673615713826895E-2</v>
      </c>
      <c r="S1003" s="15">
        <f t="shared" si="213"/>
        <v>2.9823378435613852E-2</v>
      </c>
    </row>
    <row r="1004" spans="1:19" x14ac:dyDescent="0.3">
      <c r="A1004" s="2">
        <v>43282</v>
      </c>
      <c r="B1004">
        <v>2018</v>
      </c>
      <c r="C1004">
        <v>7</v>
      </c>
      <c r="D1004" t="s">
        <v>55</v>
      </c>
      <c r="E1004" t="s">
        <v>29</v>
      </c>
      <c r="F1004" t="s">
        <v>23</v>
      </c>
      <c r="G1004" t="s">
        <v>32</v>
      </c>
      <c r="H1004" t="s">
        <v>12</v>
      </c>
      <c r="I1004">
        <v>204.24</v>
      </c>
      <c r="J1004" s="8">
        <f t="shared" si="214"/>
        <v>-2.9368575624083343E-4</v>
      </c>
      <c r="K1004" s="8">
        <f t="shared" si="215"/>
        <v>1.2154246664497235</v>
      </c>
      <c r="L1004" s="6">
        <f t="shared" si="207"/>
        <v>-5.2268575624083346E-4</v>
      </c>
      <c r="M1004">
        <f t="shared" si="210"/>
        <v>1.066158449609087</v>
      </c>
      <c r="N1004" s="15">
        <v>2.2900000000000001E-4</v>
      </c>
      <c r="O1004" s="8">
        <f>(I1004 - MAX(I962:I1004)) / MAX(I962:I1004)</f>
        <v>-2.9368575624083343E-4</v>
      </c>
      <c r="P1004" s="15">
        <v>3.8300000000000001E-2</v>
      </c>
      <c r="Q1004">
        <f t="shared" si="211"/>
        <v>3.7102968819303916E-2</v>
      </c>
      <c r="R1004">
        <f t="shared" si="212"/>
        <v>3.3734234410149729E-2</v>
      </c>
      <c r="S1004" s="15">
        <f t="shared" si="213"/>
        <v>3.1711817737573075E-2</v>
      </c>
    </row>
    <row r="1005" spans="1:19" x14ac:dyDescent="0.3">
      <c r="A1005" s="2">
        <v>43313</v>
      </c>
      <c r="B1005">
        <v>2018</v>
      </c>
      <c r="C1005">
        <v>8</v>
      </c>
      <c r="D1005" t="s">
        <v>55</v>
      </c>
      <c r="E1005" t="s">
        <v>29</v>
      </c>
      <c r="F1005" t="s">
        <v>23</v>
      </c>
      <c r="G1005" t="s">
        <v>32</v>
      </c>
      <c r="H1005" t="s">
        <v>12</v>
      </c>
      <c r="I1005">
        <v>219.47</v>
      </c>
      <c r="J1005" s="8">
        <f t="shared" si="214"/>
        <v>7.4569134351742991E-2</v>
      </c>
      <c r="K1005" s="8">
        <f t="shared" si="215"/>
        <v>1.3806269660483781</v>
      </c>
      <c r="L1005" s="6">
        <f t="shared" si="207"/>
        <v>7.4327134351742985E-2</v>
      </c>
      <c r="M1005">
        <f t="shared" ref="M1005:M1036" si="216">(AVERAGE(J994:J1005)-AVERAGE(N994:N1005))/STDEV(J994:J1005)</f>
        <v>1.1098487575293403</v>
      </c>
      <c r="N1005" s="15">
        <v>2.42E-4</v>
      </c>
      <c r="O1005" s="8">
        <f>(I1005 - MAX(I962:I1005)) / MAX(I962:I1005)</f>
        <v>0</v>
      </c>
      <c r="P1005" s="15">
        <v>-3.7599999999999988E-2</v>
      </c>
      <c r="Q1005">
        <f t="shared" ref="Q1005:Q1036" si="217" xml:space="preserve"> _xlfn.COVARIANCE.P(J994:J1005, P994:P1005) / _xlfn.VAR.P(P994:P1005)</f>
        <v>-7.2977701837927275E-2</v>
      </c>
      <c r="R1005">
        <f t="shared" ref="R1005:R1036" si="218">AVERAGE(J994:J1005)-(AVERAGE(N994:N1005)+Q1005*(AVERAGE(P994:P1005)-AVERAGE(N994:N1005)))</f>
        <v>3.7422172200864329E-2</v>
      </c>
      <c r="S1005" s="15">
        <f t="shared" ref="S1005:S1036" si="219">STDEV(J994:J1005)</f>
        <v>3.374569903590318E-2</v>
      </c>
    </row>
    <row r="1006" spans="1:19" x14ac:dyDescent="0.3">
      <c r="A1006" s="2">
        <v>43344</v>
      </c>
      <c r="B1006">
        <v>2018</v>
      </c>
      <c r="C1006">
        <v>9</v>
      </c>
      <c r="D1006" t="s">
        <v>55</v>
      </c>
      <c r="E1006" t="s">
        <v>29</v>
      </c>
      <c r="F1006" t="s">
        <v>23</v>
      </c>
      <c r="G1006" t="s">
        <v>32</v>
      </c>
      <c r="H1006" t="s">
        <v>12</v>
      </c>
      <c r="I1006">
        <v>227.4</v>
      </c>
      <c r="J1006" s="8">
        <f t="shared" si="214"/>
        <v>3.6132501025197099E-2</v>
      </c>
      <c r="K1006" s="8">
        <f t="shared" si="215"/>
        <v>1.4666449723397332</v>
      </c>
      <c r="L1006" s="6">
        <f t="shared" si="207"/>
        <v>3.5823501025197102E-2</v>
      </c>
      <c r="M1006">
        <f t="shared" si="216"/>
        <v>1.2461674968650636</v>
      </c>
      <c r="N1006" s="15">
        <v>3.0899999999999998E-4</v>
      </c>
      <c r="O1006" s="8">
        <f>(I1006 - MAX(I962:I1006)) / MAX(I962:I1006)</f>
        <v>0</v>
      </c>
      <c r="P1006" s="15">
        <v>1.9E-3</v>
      </c>
      <c r="Q1006">
        <f t="shared" si="217"/>
        <v>6.2955550147147571E-2</v>
      </c>
      <c r="R1006">
        <f t="shared" si="218"/>
        <v>4.0337885533829526E-2</v>
      </c>
      <c r="S1006" s="15">
        <f t="shared" si="219"/>
        <v>3.2142944883504616E-2</v>
      </c>
    </row>
    <row r="1007" spans="1:19" x14ac:dyDescent="0.3">
      <c r="A1007" s="2">
        <v>43374</v>
      </c>
      <c r="B1007">
        <v>2018</v>
      </c>
      <c r="C1007">
        <v>10</v>
      </c>
      <c r="D1007" t="s">
        <v>55</v>
      </c>
      <c r="E1007" t="s">
        <v>29</v>
      </c>
      <c r="F1007" t="s">
        <v>23</v>
      </c>
      <c r="G1007" t="s">
        <v>32</v>
      </c>
      <c r="H1007" t="s">
        <v>12</v>
      </c>
      <c r="I1007">
        <v>211</v>
      </c>
      <c r="J1007" s="8">
        <f t="shared" si="214"/>
        <v>-7.211961301671066E-2</v>
      </c>
      <c r="K1007" s="8">
        <f t="shared" si="215"/>
        <v>1.2887514914849767</v>
      </c>
      <c r="L1007" s="6">
        <f t="shared" si="207"/>
        <v>-7.245261301671066E-2</v>
      </c>
      <c r="M1007">
        <f t="shared" si="216"/>
        <v>0.64444097546997381</v>
      </c>
      <c r="N1007" s="15">
        <v>3.3300000000000002E-4</v>
      </c>
      <c r="O1007" s="8">
        <f>(I1007 - MAX(I962:I1007)) / MAX(I962:I1007)</f>
        <v>-7.211961301671066E-2</v>
      </c>
      <c r="P1007" s="15">
        <v>-5.9299999999999999E-2</v>
      </c>
      <c r="Q1007">
        <f t="shared" si="217"/>
        <v>0.40522113390322956</v>
      </c>
      <c r="R1007">
        <f t="shared" si="218"/>
        <v>3.3289841161371819E-2</v>
      </c>
      <c r="S1007" s="15">
        <f t="shared" si="219"/>
        <v>4.4748045283091557E-2</v>
      </c>
    </row>
    <row r="1008" spans="1:19" x14ac:dyDescent="0.3">
      <c r="A1008" s="2">
        <v>43405</v>
      </c>
      <c r="B1008">
        <v>2018</v>
      </c>
      <c r="C1008">
        <v>11</v>
      </c>
      <c r="D1008" t="s">
        <v>55</v>
      </c>
      <c r="E1008" t="s">
        <v>29</v>
      </c>
      <c r="F1008" t="s">
        <v>23</v>
      </c>
      <c r="G1008" t="s">
        <v>32</v>
      </c>
      <c r="H1008" t="s">
        <v>12</v>
      </c>
      <c r="I1008">
        <v>214.53</v>
      </c>
      <c r="J1008" s="8">
        <f t="shared" si="214"/>
        <v>1.6729857819905217E-2</v>
      </c>
      <c r="K1008" s="8">
        <f t="shared" si="215"/>
        <v>1.3270419785226166</v>
      </c>
      <c r="L1008" s="6">
        <f t="shared" si="207"/>
        <v>1.6467857819905219E-2</v>
      </c>
      <c r="M1008">
        <f t="shared" si="216"/>
        <v>0.59961697225815647</v>
      </c>
      <c r="N1008" s="15">
        <v>2.6200000000000003E-4</v>
      </c>
      <c r="O1008" s="8">
        <f>(I1008 - MAX(I962:I1008)) / MAX(I962:I1008)</f>
        <v>-5.6596306068601603E-2</v>
      </c>
      <c r="P1008" s="15">
        <v>-7.6E-3</v>
      </c>
      <c r="Q1008">
        <f t="shared" si="217"/>
        <v>0.42470479415748685</v>
      </c>
      <c r="R1008">
        <f t="shared" si="218"/>
        <v>3.0853752208036093E-2</v>
      </c>
      <c r="S1008" s="15">
        <f t="shared" si="219"/>
        <v>4.4711929326645958E-2</v>
      </c>
    </row>
    <row r="1009" spans="1:19" x14ac:dyDescent="0.3">
      <c r="A1009" s="2">
        <v>43435</v>
      </c>
      <c r="B1009">
        <v>2018</v>
      </c>
      <c r="C1009">
        <v>12</v>
      </c>
      <c r="D1009" t="s">
        <v>55</v>
      </c>
      <c r="E1009" t="s">
        <v>29</v>
      </c>
      <c r="F1009" t="s">
        <v>23</v>
      </c>
      <c r="G1009" t="s">
        <v>32</v>
      </c>
      <c r="H1009" t="s">
        <v>12</v>
      </c>
      <c r="I1009">
        <v>196.85</v>
      </c>
      <c r="J1009" s="8">
        <f t="shared" si="214"/>
        <v>-8.2412716170232631E-2</v>
      </c>
      <c r="K1009" s="8">
        <f t="shared" si="215"/>
        <v>1.1352641284304159</v>
      </c>
      <c r="L1009" s="6">
        <f t="shared" si="207"/>
        <v>-8.2568716170232634E-2</v>
      </c>
      <c r="M1009">
        <f t="shared" si="216"/>
        <v>0.35978592445269847</v>
      </c>
      <c r="N1009" s="15">
        <v>1.56E-4</v>
      </c>
      <c r="O1009" s="8">
        <f>(I1009 - MAX(I962:I1009)) / MAX(I962:I1009)</f>
        <v>-0.13434476693051894</v>
      </c>
      <c r="P1009" s="15">
        <v>-5.8799999999999998E-2</v>
      </c>
      <c r="Q1009">
        <f t="shared" si="217"/>
        <v>0.6773314147117957</v>
      </c>
      <c r="R1009">
        <f t="shared" si="218"/>
        <v>2.8371674659270447E-2</v>
      </c>
      <c r="S1009" s="15">
        <f t="shared" si="219"/>
        <v>5.462432895060082E-2</v>
      </c>
    </row>
    <row r="1010" spans="1:19" x14ac:dyDescent="0.3">
      <c r="A1010" s="2">
        <v>43466</v>
      </c>
      <c r="B1010">
        <v>2019</v>
      </c>
      <c r="C1010">
        <v>1</v>
      </c>
      <c r="D1010" t="s">
        <v>55</v>
      </c>
      <c r="E1010" t="s">
        <v>29</v>
      </c>
      <c r="F1010" t="s">
        <v>23</v>
      </c>
      <c r="G1010" t="s">
        <v>32</v>
      </c>
      <c r="H1010" t="s">
        <v>12</v>
      </c>
      <c r="I1010">
        <v>215.82</v>
      </c>
      <c r="J1010" s="8">
        <f t="shared" si="214"/>
        <v>9.6367792735585461E-2</v>
      </c>
      <c r="K1010" s="8">
        <f t="shared" si="215"/>
        <v>1.341034819394729</v>
      </c>
      <c r="L1010" s="6">
        <f t="shared" si="207"/>
        <v>9.6256792735585461E-2</v>
      </c>
      <c r="M1010">
        <f t="shared" si="216"/>
        <v>0.38757347035240469</v>
      </c>
      <c r="N1010" s="15">
        <v>1.11E-4</v>
      </c>
      <c r="O1010" s="8">
        <f>(I1010 - MAX(I962:I1010)) / MAX(I962:I1010)</f>
        <v>-5.0923482849604275E-2</v>
      </c>
      <c r="P1010" s="15">
        <v>5.79E-2</v>
      </c>
      <c r="Q1010">
        <f t="shared" si="217"/>
        <v>0.74839424634256257</v>
      </c>
      <c r="R1010">
        <f t="shared" si="218"/>
        <v>3.0244224347216582E-2</v>
      </c>
      <c r="S1010" s="15">
        <f t="shared" si="219"/>
        <v>5.7698442540848563E-2</v>
      </c>
    </row>
    <row r="1011" spans="1:19" x14ac:dyDescent="0.3">
      <c r="A1011" s="2">
        <v>43497</v>
      </c>
      <c r="B1011">
        <v>2019</v>
      </c>
      <c r="C1011">
        <v>2</v>
      </c>
      <c r="D1011" t="s">
        <v>55</v>
      </c>
      <c r="E1011" t="s">
        <v>29</v>
      </c>
      <c r="F1011" t="s">
        <v>23</v>
      </c>
      <c r="G1011" t="s">
        <v>32</v>
      </c>
      <c r="H1011" t="s">
        <v>12</v>
      </c>
      <c r="I1011">
        <v>247.13</v>
      </c>
      <c r="J1011" s="8">
        <f t="shared" si="214"/>
        <v>0.14507459920303958</v>
      </c>
      <c r="K1011" s="8">
        <f t="shared" si="215"/>
        <v>1.6806595075387794</v>
      </c>
      <c r="L1011" s="6">
        <f t="shared" si="207"/>
        <v>0.14502859920303959</v>
      </c>
      <c r="M1011">
        <f t="shared" si="216"/>
        <v>0.52528747822445865</v>
      </c>
      <c r="N1011" s="15">
        <v>4.6E-5</v>
      </c>
      <c r="O1011" s="8">
        <f>(I1011 - MAX(I962:I1011)) / MAX(I962:I1011)</f>
        <v>0</v>
      </c>
      <c r="P1011" s="15">
        <v>4.3899999999999988E-2</v>
      </c>
      <c r="Q1011">
        <f t="shared" si="217"/>
        <v>0.93924736621245664</v>
      </c>
      <c r="R1011">
        <f t="shared" si="218"/>
        <v>3.7732049613667704E-2</v>
      </c>
      <c r="S1011" s="15">
        <f t="shared" si="219"/>
        <v>6.6649280493242882E-2</v>
      </c>
    </row>
    <row r="1012" spans="1:19" x14ac:dyDescent="0.3">
      <c r="A1012" s="2">
        <v>43525</v>
      </c>
      <c r="B1012">
        <v>2019</v>
      </c>
      <c r="C1012">
        <v>3</v>
      </c>
      <c r="D1012" t="s">
        <v>55</v>
      </c>
      <c r="E1012" t="s">
        <v>29</v>
      </c>
      <c r="F1012" t="s">
        <v>23</v>
      </c>
      <c r="G1012" t="s">
        <v>32</v>
      </c>
      <c r="H1012" t="s">
        <v>12</v>
      </c>
      <c r="I1012">
        <v>261.41000000000003</v>
      </c>
      <c r="J1012" s="8">
        <f t="shared" si="214"/>
        <v>5.7783352891190992E-2</v>
      </c>
      <c r="K1012" s="8">
        <f t="shared" si="215"/>
        <v>1.8355570018440193</v>
      </c>
      <c r="L1012" s="6">
        <f t="shared" si="207"/>
        <v>5.777435289119099E-2</v>
      </c>
      <c r="M1012">
        <f t="shared" si="216"/>
        <v>0.54685518814162937</v>
      </c>
      <c r="N1012" s="15">
        <v>9.0000000000000002E-6</v>
      </c>
      <c r="O1012" s="8">
        <f>(I1012 - MAX(I962:I1012)) / MAX(I962:I1012)</f>
        <v>0</v>
      </c>
      <c r="P1012" s="15">
        <v>1.6199999999999999E-2</v>
      </c>
      <c r="Q1012">
        <f t="shared" si="217"/>
        <v>0.96944918297682114</v>
      </c>
      <c r="R1012">
        <f t="shared" si="218"/>
        <v>3.6268242455967985E-2</v>
      </c>
      <c r="S1012" s="15">
        <f t="shared" si="219"/>
        <v>6.696484282503043E-2</v>
      </c>
    </row>
    <row r="1013" spans="1:19" x14ac:dyDescent="0.3">
      <c r="A1013" s="2">
        <v>43556</v>
      </c>
      <c r="B1013">
        <v>2019</v>
      </c>
      <c r="C1013">
        <v>4</v>
      </c>
      <c r="D1013" t="s">
        <v>55</v>
      </c>
      <c r="E1013" t="s">
        <v>29</v>
      </c>
      <c r="F1013" t="s">
        <v>23</v>
      </c>
      <c r="G1013" t="s">
        <v>32</v>
      </c>
      <c r="H1013" t="s">
        <v>12</v>
      </c>
      <c r="I1013">
        <v>251.06</v>
      </c>
      <c r="J1013" s="8">
        <f t="shared" si="214"/>
        <v>-3.9592976550246822E-2</v>
      </c>
      <c r="K1013" s="8">
        <f t="shared" si="215"/>
        <v>1.7232888599631209</v>
      </c>
      <c r="L1013" s="6">
        <f t="shared" si="207"/>
        <v>-3.9559976550246824E-2</v>
      </c>
      <c r="M1013">
        <f t="shared" si="216"/>
        <v>0.39984943364783287</v>
      </c>
      <c r="N1013" s="15">
        <v>-3.3000000000000003E-5</v>
      </c>
      <c r="O1013" s="8">
        <f>(I1013 - MAX(I962:I1013)) / MAX(I962:I1013)</f>
        <v>-3.9592976550246822E-2</v>
      </c>
      <c r="P1013" s="15">
        <v>4.8599999999999997E-2</v>
      </c>
      <c r="Q1013">
        <f t="shared" si="217"/>
        <v>0.71584158781517893</v>
      </c>
      <c r="R1013">
        <f t="shared" si="218"/>
        <v>2.7780435474318729E-2</v>
      </c>
      <c r="S1013" s="15">
        <f t="shared" si="219"/>
        <v>6.9669397512796855E-2</v>
      </c>
    </row>
    <row r="1014" spans="1:19" x14ac:dyDescent="0.3">
      <c r="A1014" s="2">
        <v>43586</v>
      </c>
      <c r="B1014">
        <v>2019</v>
      </c>
      <c r="C1014">
        <v>5</v>
      </c>
      <c r="D1014" t="s">
        <v>55</v>
      </c>
      <c r="E1014" t="s">
        <v>29</v>
      </c>
      <c r="F1014" t="s">
        <v>23</v>
      </c>
      <c r="G1014" t="s">
        <v>32</v>
      </c>
      <c r="H1014" t="s">
        <v>12</v>
      </c>
      <c r="I1014">
        <v>244.85</v>
      </c>
      <c r="J1014" s="8">
        <f t="shared" si="214"/>
        <v>-2.473512307814868E-2</v>
      </c>
      <c r="K1014" s="8">
        <f t="shared" si="215"/>
        <v>1.6559279748345817</v>
      </c>
      <c r="L1014" s="6">
        <f t="shared" si="207"/>
        <v>-2.4623123078148679E-2</v>
      </c>
      <c r="M1014">
        <f t="shared" si="216"/>
        <v>0.26783809899715072</v>
      </c>
      <c r="N1014" s="15">
        <v>-1.12E-4</v>
      </c>
      <c r="O1014" s="8">
        <f>(I1014 - MAX(I962:I1014)) / MAX(I962:I1014)</f>
        <v>-6.3348762480394893E-2</v>
      </c>
      <c r="P1014" s="15">
        <v>-6.6600000000000006E-2</v>
      </c>
      <c r="Q1014">
        <f t="shared" si="217"/>
        <v>0.86896073085781844</v>
      </c>
      <c r="R1014">
        <f t="shared" si="218"/>
        <v>2.0292541762776256E-2</v>
      </c>
      <c r="S1014" s="15">
        <f t="shared" si="219"/>
        <v>6.8160262181454823E-2</v>
      </c>
    </row>
    <row r="1015" spans="1:19" x14ac:dyDescent="0.3">
      <c r="A1015" s="2">
        <v>43617</v>
      </c>
      <c r="B1015">
        <v>2019</v>
      </c>
      <c r="C1015">
        <v>6</v>
      </c>
      <c r="D1015" t="s">
        <v>55</v>
      </c>
      <c r="E1015" t="s">
        <v>29</v>
      </c>
      <c r="F1015" t="s">
        <v>23</v>
      </c>
      <c r="G1015" t="s">
        <v>32</v>
      </c>
      <c r="H1015" t="s">
        <v>12</v>
      </c>
      <c r="I1015">
        <v>261.33</v>
      </c>
      <c r="J1015" s="8">
        <f t="shared" si="214"/>
        <v>6.7306514192362638E-2</v>
      </c>
      <c r="K1015" s="8">
        <f t="shared" si="215"/>
        <v>1.8346892287666781</v>
      </c>
      <c r="L1015" s="6">
        <f t="shared" si="207"/>
        <v>6.7569514192362637E-2</v>
      </c>
      <c r="M1015">
        <f t="shared" si="216"/>
        <v>0.32766967238833761</v>
      </c>
      <c r="N1015" s="15">
        <v>-2.63E-4</v>
      </c>
      <c r="O1015" s="8">
        <f>(I1015 - MAX(I962:I1015)) / MAX(I962:I1015)</f>
        <v>-3.0603266898757093E-4</v>
      </c>
      <c r="P1015" s="15">
        <v>5.8899999999999987E-2</v>
      </c>
      <c r="Q1015">
        <f t="shared" si="217"/>
        <v>0.8588210735673395</v>
      </c>
      <c r="R1015">
        <f t="shared" si="218"/>
        <v>2.032348863146349E-2</v>
      </c>
      <c r="S1015" s="15">
        <f t="shared" si="219"/>
        <v>6.9562087649072346E-2</v>
      </c>
    </row>
    <row r="1016" spans="1:19" x14ac:dyDescent="0.3">
      <c r="A1016" s="2">
        <v>43647</v>
      </c>
      <c r="B1016">
        <v>2019</v>
      </c>
      <c r="C1016">
        <v>7</v>
      </c>
      <c r="D1016" t="s">
        <v>55</v>
      </c>
      <c r="E1016" t="s">
        <v>29</v>
      </c>
      <c r="F1016" t="s">
        <v>23</v>
      </c>
      <c r="G1016" t="s">
        <v>32</v>
      </c>
      <c r="H1016" t="s">
        <v>12</v>
      </c>
      <c r="I1016">
        <v>277.31</v>
      </c>
      <c r="J1016" s="8">
        <f t="shared" si="214"/>
        <v>6.1148739142080966E-2</v>
      </c>
      <c r="K1016" s="8">
        <f t="shared" si="215"/>
        <v>2.0080269009653988</v>
      </c>
      <c r="L1016" s="6">
        <f t="shared" si="207"/>
        <v>6.1472739142080964E-2</v>
      </c>
      <c r="M1016">
        <f t="shared" si="216"/>
        <v>0.399653631922056</v>
      </c>
      <c r="N1016" s="15">
        <v>-3.2400000000000001E-4</v>
      </c>
      <c r="O1016" s="8">
        <f>(I1016 - MAX(I962:I1016)) / MAX(I962:I1016)</f>
        <v>0</v>
      </c>
      <c r="P1016" s="15">
        <v>-2E-3</v>
      </c>
      <c r="Q1016">
        <f t="shared" si="217"/>
        <v>0.94130110763257158</v>
      </c>
      <c r="R1016">
        <f t="shared" si="218"/>
        <v>2.8370392928777528E-2</v>
      </c>
      <c r="S1016" s="15">
        <f t="shared" si="219"/>
        <v>6.9959759265410079E-2</v>
      </c>
    </row>
    <row r="1017" spans="1:19" x14ac:dyDescent="0.3">
      <c r="A1017" s="2">
        <v>43678</v>
      </c>
      <c r="B1017">
        <v>2019</v>
      </c>
      <c r="C1017">
        <v>8</v>
      </c>
      <c r="D1017" t="s">
        <v>55</v>
      </c>
      <c r="E1017" t="s">
        <v>29</v>
      </c>
      <c r="F1017" t="s">
        <v>23</v>
      </c>
      <c r="G1017" t="s">
        <v>32</v>
      </c>
      <c r="H1017" t="s">
        <v>12</v>
      </c>
      <c r="I1017">
        <v>288.36</v>
      </c>
      <c r="J1017" s="8">
        <f t="shared" si="214"/>
        <v>3.9847102520644807E-2</v>
      </c>
      <c r="K1017" s="8">
        <f t="shared" si="215"/>
        <v>2.1278880572730245</v>
      </c>
      <c r="L1017" s="6">
        <f t="shared" si="207"/>
        <v>4.0388102520644807E-2</v>
      </c>
      <c r="M1017">
        <f t="shared" si="216"/>
        <v>0.3665414718740333</v>
      </c>
      <c r="N1017" s="15">
        <v>-5.4100000000000003E-4</v>
      </c>
      <c r="O1017" s="8">
        <f>(I1017 - MAX(I962:I1017)) / MAX(I962:I1017)</f>
        <v>0</v>
      </c>
      <c r="P1017" s="15">
        <v>-1.1599999999999999E-2</v>
      </c>
      <c r="Q1017">
        <f t="shared" si="217"/>
        <v>1.0683061836187415</v>
      </c>
      <c r="R1017">
        <f t="shared" si="218"/>
        <v>2.3213186448019583E-2</v>
      </c>
      <c r="S1017" s="15">
        <f t="shared" si="219"/>
        <v>6.8563644647716887E-2</v>
      </c>
    </row>
    <row r="1018" spans="1:19" x14ac:dyDescent="0.3">
      <c r="A1018" s="2">
        <v>43709</v>
      </c>
      <c r="B1018">
        <v>2019</v>
      </c>
      <c r="C1018">
        <v>9</v>
      </c>
      <c r="D1018" t="s">
        <v>55</v>
      </c>
      <c r="E1018" t="s">
        <v>29</v>
      </c>
      <c r="F1018" t="s">
        <v>23</v>
      </c>
      <c r="G1018" t="s">
        <v>32</v>
      </c>
      <c r="H1018" t="s">
        <v>12</v>
      </c>
      <c r="I1018">
        <v>265.94</v>
      </c>
      <c r="J1018" s="8">
        <f t="shared" si="214"/>
        <v>-7.7750034678873675E-2</v>
      </c>
      <c r="K1018" s="8">
        <f t="shared" si="215"/>
        <v>1.8846946523484123</v>
      </c>
      <c r="L1018" s="6">
        <f t="shared" si="207"/>
        <v>-7.7254034678873679E-2</v>
      </c>
      <c r="M1018">
        <f t="shared" si="216"/>
        <v>0.21078074185823822</v>
      </c>
      <c r="N1018" s="15">
        <v>-4.9600000000000002E-4</v>
      </c>
      <c r="O1018" s="8">
        <f>(I1018 - MAX(I962:I1018)) / MAX(I962:I1018)</f>
        <v>-7.7750034678873675E-2</v>
      </c>
      <c r="P1018" s="15">
        <v>4.1599999999999998E-2</v>
      </c>
      <c r="Q1018">
        <f t="shared" si="217"/>
        <v>0.85220034824844637</v>
      </c>
      <c r="R1018">
        <f t="shared" si="218"/>
        <v>1.1301563250090386E-2</v>
      </c>
      <c r="S1018" s="15">
        <f t="shared" si="219"/>
        <v>7.4524319026487734E-2</v>
      </c>
    </row>
    <row r="1019" spans="1:19" x14ac:dyDescent="0.3">
      <c r="A1019" s="2">
        <v>43739</v>
      </c>
      <c r="B1019">
        <v>2019</v>
      </c>
      <c r="C1019">
        <v>10</v>
      </c>
      <c r="D1019" t="s">
        <v>55</v>
      </c>
      <c r="E1019" t="s">
        <v>29</v>
      </c>
      <c r="F1019" t="s">
        <v>23</v>
      </c>
      <c r="G1019" t="s">
        <v>32</v>
      </c>
      <c r="H1019" t="s">
        <v>12</v>
      </c>
      <c r="I1019">
        <v>257.5</v>
      </c>
      <c r="J1019" s="8">
        <f t="shared" si="214"/>
        <v>-3.1736481913213502E-2</v>
      </c>
      <c r="K1019" s="8">
        <f t="shared" si="215"/>
        <v>1.7931445926890133</v>
      </c>
      <c r="L1019" s="6">
        <f t="shared" si="207"/>
        <v>-3.1345481913213499E-2</v>
      </c>
      <c r="M1019">
        <f t="shared" si="216"/>
        <v>0.26937304409145485</v>
      </c>
      <c r="N1019" s="15">
        <v>-3.9100000000000002E-4</v>
      </c>
      <c r="O1019" s="8">
        <f>(I1019 - MAX(I962:I1019)) / MAX(I962:I1019)</f>
        <v>-0.10701900402274939</v>
      </c>
      <c r="P1019" s="15">
        <v>9.7999999999999997E-3</v>
      </c>
      <c r="Q1019">
        <f t="shared" si="217"/>
        <v>0.73888354712585569</v>
      </c>
      <c r="R1019">
        <f t="shared" si="218"/>
        <v>1.1013801621110418E-2</v>
      </c>
      <c r="S1019" s="15">
        <f t="shared" si="219"/>
        <v>7.1031181215785333E-2</v>
      </c>
    </row>
    <row r="1020" spans="1:19" x14ac:dyDescent="0.3">
      <c r="A1020" s="2">
        <v>43770</v>
      </c>
      <c r="B1020">
        <v>2019</v>
      </c>
      <c r="C1020">
        <v>11</v>
      </c>
      <c r="D1020" t="s">
        <v>55</v>
      </c>
      <c r="E1020" t="s">
        <v>29</v>
      </c>
      <c r="F1020" t="s">
        <v>23</v>
      </c>
      <c r="G1020" t="s">
        <v>32</v>
      </c>
      <c r="H1020" t="s">
        <v>12</v>
      </c>
      <c r="I1020">
        <v>258.89</v>
      </c>
      <c r="J1020" s="8">
        <f t="shared" si="214"/>
        <v>5.3980582524271311E-3</v>
      </c>
      <c r="K1020" s="8">
        <f t="shared" si="215"/>
        <v>1.8082221499078002</v>
      </c>
      <c r="L1020" s="6">
        <f t="shared" si="207"/>
        <v>5.6920582524271311E-3</v>
      </c>
      <c r="M1020">
        <f t="shared" si="216"/>
        <v>0.25634045583702919</v>
      </c>
      <c r="N1020" s="15">
        <v>-2.9399999999999999E-4</v>
      </c>
      <c r="O1020" s="8">
        <f>(I1020 - MAX(I962:I1020)) / MAX(I962:I1020)</f>
        <v>-0.10219864058815378</v>
      </c>
      <c r="P1020" s="15">
        <v>2.75E-2</v>
      </c>
      <c r="Q1020">
        <f t="shared" si="217"/>
        <v>0.73318877567752261</v>
      </c>
      <c r="R1020">
        <f t="shared" si="218"/>
        <v>7.9998537149841321E-3</v>
      </c>
      <c r="S1020" s="15">
        <f t="shared" si="219"/>
        <v>7.1139384349896237E-2</v>
      </c>
    </row>
    <row r="1021" spans="1:19" x14ac:dyDescent="0.3">
      <c r="A1021" s="2">
        <v>43800</v>
      </c>
      <c r="B1021">
        <v>2019</v>
      </c>
      <c r="C1021">
        <v>12</v>
      </c>
      <c r="D1021" t="s">
        <v>55</v>
      </c>
      <c r="E1021" t="s">
        <v>29</v>
      </c>
      <c r="F1021" t="s">
        <v>23</v>
      </c>
      <c r="G1021" t="s">
        <v>32</v>
      </c>
      <c r="H1021" t="s">
        <v>12</v>
      </c>
      <c r="I1021">
        <v>261.93</v>
      </c>
      <c r="J1021" s="8">
        <f t="shared" si="214"/>
        <v>1.1742438873652982E-2</v>
      </c>
      <c r="K1021" s="8">
        <f t="shared" si="215"/>
        <v>1.8411975268467304</v>
      </c>
      <c r="L1021" s="6">
        <f t="shared" si="207"/>
        <v>1.1992438873652983E-2</v>
      </c>
      <c r="M1021">
        <f t="shared" si="216"/>
        <v>0.40888166295590367</v>
      </c>
      <c r="N1021" s="15">
        <v>-2.5000000000000001E-4</v>
      </c>
      <c r="O1021" s="8">
        <f>(I1021 - MAX(I962:I1021)) / MAX(I962:I1021)</f>
        <v>-9.1656263004577632E-2</v>
      </c>
      <c r="P1021" s="15">
        <v>1.21E-2</v>
      </c>
      <c r="Q1021">
        <f t="shared" si="217"/>
        <v>0.47145316591571174</v>
      </c>
      <c r="R1021">
        <f t="shared" si="218"/>
        <v>1.6732587529127093E-2</v>
      </c>
      <c r="S1021" s="15">
        <f t="shared" si="219"/>
        <v>6.3871777171605928E-2</v>
      </c>
    </row>
    <row r="1022" spans="1:19" x14ac:dyDescent="0.3">
      <c r="A1022" s="2">
        <v>43831</v>
      </c>
      <c r="B1022">
        <v>2020</v>
      </c>
      <c r="C1022">
        <v>1</v>
      </c>
      <c r="D1022" t="s">
        <v>55</v>
      </c>
      <c r="E1022" t="s">
        <v>29</v>
      </c>
      <c r="F1022" t="s">
        <v>23</v>
      </c>
      <c r="G1022" t="s">
        <v>32</v>
      </c>
      <c r="H1022" t="s">
        <v>12</v>
      </c>
      <c r="I1022">
        <v>280.38</v>
      </c>
      <c r="J1022" s="8">
        <f t="shared" si="214"/>
        <v>7.0438666819379173E-2</v>
      </c>
      <c r="K1022" s="8">
        <f t="shared" si="215"/>
        <v>2.0413276928083315</v>
      </c>
      <c r="L1022" s="6">
        <f t="shared" si="207"/>
        <v>7.069966681937917E-2</v>
      </c>
      <c r="M1022">
        <f t="shared" si="216"/>
        <v>0.38893219151137232</v>
      </c>
      <c r="N1022" s="15">
        <v>-2.61E-4</v>
      </c>
      <c r="O1022" s="8">
        <f>(I1022 - MAX(I962:I1022)) / MAX(I962:I1022)</f>
        <v>-2.7673741156887286E-2</v>
      </c>
      <c r="P1022" s="15">
        <v>-2.87E-2</v>
      </c>
      <c r="Q1022">
        <f t="shared" si="217"/>
        <v>0.11042557239550445</v>
      </c>
      <c r="R1022">
        <f t="shared" si="218"/>
        <v>2.2581900755918139E-2</v>
      </c>
      <c r="S1022" s="15">
        <f t="shared" si="219"/>
        <v>6.1672030488524404E-2</v>
      </c>
    </row>
    <row r="1023" spans="1:19" x14ac:dyDescent="0.3">
      <c r="A1023" s="2">
        <v>43862</v>
      </c>
      <c r="B1023">
        <v>2020</v>
      </c>
      <c r="C1023">
        <v>2</v>
      </c>
      <c r="D1023" t="s">
        <v>55</v>
      </c>
      <c r="E1023" t="s">
        <v>29</v>
      </c>
      <c r="F1023" t="s">
        <v>23</v>
      </c>
      <c r="G1023" t="s">
        <v>32</v>
      </c>
      <c r="H1023" t="s">
        <v>12</v>
      </c>
      <c r="I1023">
        <v>265.85000000000002</v>
      </c>
      <c r="J1023" s="8">
        <f t="shared" si="214"/>
        <v>-5.1822526571082009E-2</v>
      </c>
      <c r="K1023" s="8">
        <f t="shared" si="215"/>
        <v>1.8837184076364042</v>
      </c>
      <c r="L1023" s="6">
        <f t="shared" si="207"/>
        <v>-5.1434526571082009E-2</v>
      </c>
      <c r="M1023">
        <f t="shared" si="216"/>
        <v>0.14679420222498735</v>
      </c>
      <c r="N1023" s="15">
        <v>-3.88E-4</v>
      </c>
      <c r="O1023" s="8">
        <f>(I1023 - MAX(I962:I1023)) / MAX(I962:I1023)</f>
        <v>-7.8062144541545253E-2</v>
      </c>
      <c r="P1023" s="15">
        <v>-8.5500000000000007E-2</v>
      </c>
      <c r="Q1023">
        <f t="shared" si="217"/>
        <v>0.14162686475148306</v>
      </c>
      <c r="R1023">
        <f t="shared" si="218"/>
        <v>7.3352586924991595E-3</v>
      </c>
      <c r="S1023" s="15">
        <f t="shared" si="219"/>
        <v>5.1870650949444569E-2</v>
      </c>
    </row>
    <row r="1024" spans="1:19" x14ac:dyDescent="0.3">
      <c r="A1024" s="2">
        <v>43891</v>
      </c>
      <c r="B1024">
        <v>2020</v>
      </c>
      <c r="C1024">
        <v>3</v>
      </c>
      <c r="D1024" t="s">
        <v>55</v>
      </c>
      <c r="E1024" t="s">
        <v>29</v>
      </c>
      <c r="F1024" t="s">
        <v>23</v>
      </c>
      <c r="G1024" t="s">
        <v>32</v>
      </c>
      <c r="H1024" t="s">
        <v>12</v>
      </c>
      <c r="I1024">
        <v>230</v>
      </c>
      <c r="J1024" s="8">
        <f t="shared" si="214"/>
        <v>-0.13485047959375596</v>
      </c>
      <c r="K1024" s="8">
        <f t="shared" si="215"/>
        <v>1.4948475973532926</v>
      </c>
      <c r="L1024" s="6">
        <f t="shared" si="207"/>
        <v>-0.13439947959375595</v>
      </c>
      <c r="M1024">
        <f t="shared" si="216"/>
        <v>-0.13255386695610979</v>
      </c>
      <c r="N1024" s="15">
        <v>-4.5100000000000001E-4</v>
      </c>
      <c r="O1024" s="8">
        <f>(I1024 - MAX(I962:I1024)) / MAX(I962:I1024)</f>
        <v>-0.20238590650575672</v>
      </c>
      <c r="P1024" s="15">
        <v>-0.16300000000000001</v>
      </c>
      <c r="Q1024">
        <f t="shared" si="217"/>
        <v>0.49969589471875203</v>
      </c>
      <c r="R1024">
        <f t="shared" si="218"/>
        <v>-1.9417723414561147E-3</v>
      </c>
      <c r="S1024" s="15">
        <f t="shared" si="219"/>
        <v>6.3371785435570496E-2</v>
      </c>
    </row>
    <row r="1025" spans="1:19" x14ac:dyDescent="0.3">
      <c r="A1025" s="2">
        <v>43922</v>
      </c>
      <c r="B1025">
        <v>2020</v>
      </c>
      <c r="C1025">
        <v>4</v>
      </c>
      <c r="D1025" t="s">
        <v>55</v>
      </c>
      <c r="E1025" t="s">
        <v>29</v>
      </c>
      <c r="F1025" t="s">
        <v>23</v>
      </c>
      <c r="G1025" t="s">
        <v>32</v>
      </c>
      <c r="H1025" t="s">
        <v>12</v>
      </c>
      <c r="I1025">
        <v>269.81</v>
      </c>
      <c r="J1025" s="8">
        <f t="shared" si="214"/>
        <v>0.17308695652173914</v>
      </c>
      <c r="K1025" s="8">
        <f t="shared" si="215"/>
        <v>1.9266731749647477</v>
      </c>
      <c r="L1025" s="6">
        <f t="shared" si="207"/>
        <v>0.17346195652173912</v>
      </c>
      <c r="M1025">
        <f t="shared" si="216"/>
        <v>0.1151856009207318</v>
      </c>
      <c r="N1025" s="15">
        <v>-3.7500000000000001E-4</v>
      </c>
      <c r="O1025" s="8">
        <f>(I1025 - MAX(I962:I1025)) / MAX(I962:I1025)</f>
        <v>-6.4329310583992272E-2</v>
      </c>
      <c r="P1025" s="15">
        <v>5.0599999999999999E-2</v>
      </c>
      <c r="Q1025">
        <f t="shared" si="217"/>
        <v>0.79012474178288072</v>
      </c>
      <c r="R1025">
        <f t="shared" si="218"/>
        <v>1.9409545441126268E-2</v>
      </c>
      <c r="S1025" s="15">
        <f t="shared" si="219"/>
        <v>8.1187687226953714E-2</v>
      </c>
    </row>
    <row r="1026" spans="1:19" x14ac:dyDescent="0.3">
      <c r="A1026" s="2">
        <v>43952</v>
      </c>
      <c r="B1026">
        <v>2020</v>
      </c>
      <c r="C1026">
        <v>5</v>
      </c>
      <c r="D1026" t="s">
        <v>55</v>
      </c>
      <c r="E1026" t="s">
        <v>29</v>
      </c>
      <c r="F1026" t="s">
        <v>23</v>
      </c>
      <c r="G1026" t="s">
        <v>32</v>
      </c>
      <c r="H1026" t="s">
        <v>12</v>
      </c>
      <c r="I1026">
        <v>290.32</v>
      </c>
      <c r="J1026" s="8">
        <f t="shared" si="214"/>
        <v>7.601645602460988E-2</v>
      </c>
      <c r="K1026" s="8">
        <f t="shared" si="215"/>
        <v>2.149148497667861</v>
      </c>
      <c r="L1026" s="6">
        <f t="shared" ref="L1026:L1089" si="220">J1026-N1026</f>
        <v>7.644645602460988E-2</v>
      </c>
      <c r="M1026">
        <f t="shared" si="216"/>
        <v>0.21523825403070332</v>
      </c>
      <c r="N1026" s="15">
        <v>-4.2999999999999999E-4</v>
      </c>
      <c r="O1026" s="8">
        <f>(I1026 - MAX(I962:I1026)) / MAX(I962:I1026)</f>
        <v>0</v>
      </c>
      <c r="P1026" s="15">
        <v>4.1799999999999997E-2</v>
      </c>
      <c r="Q1026">
        <f t="shared" si="217"/>
        <v>0.82598485922331777</v>
      </c>
      <c r="R1026">
        <f t="shared" si="218"/>
        <v>2.080520657089413E-2</v>
      </c>
      <c r="S1026" s="15">
        <f t="shared" si="219"/>
        <v>8.2578803409618443E-2</v>
      </c>
    </row>
    <row r="1027" spans="1:19" x14ac:dyDescent="0.3">
      <c r="A1027" s="2">
        <v>43983</v>
      </c>
      <c r="B1027">
        <v>2020</v>
      </c>
      <c r="C1027">
        <v>6</v>
      </c>
      <c r="D1027" t="s">
        <v>55</v>
      </c>
      <c r="E1027" t="s">
        <v>29</v>
      </c>
      <c r="F1027" t="s">
        <v>23</v>
      </c>
      <c r="G1027" t="s">
        <v>32</v>
      </c>
      <c r="H1027" t="s">
        <v>12</v>
      </c>
      <c r="I1027">
        <v>296.19</v>
      </c>
      <c r="J1027" s="8">
        <f t="shared" ref="J1027:J1058" si="221">(I1027-I1026)/I1026</f>
        <v>2.021906861394325E-2</v>
      </c>
      <c r="K1027" s="8">
        <f t="shared" ref="K1027:K1058" si="222">(K1026+1)*(J1027+1)-1</f>
        <v>2.2128213472177034</v>
      </c>
      <c r="L1027" s="6">
        <f t="shared" si="220"/>
        <v>2.0581068613943251E-2</v>
      </c>
      <c r="M1027">
        <f t="shared" si="216"/>
        <v>0.17088616819817504</v>
      </c>
      <c r="N1027" s="15">
        <v>-3.6200000000000002E-4</v>
      </c>
      <c r="O1027" s="8">
        <f>(I1027 - MAX(I962:I1027)) / MAX(I962:I1027)</f>
        <v>0</v>
      </c>
      <c r="P1027" s="15">
        <v>6.0299999999999999E-2</v>
      </c>
      <c r="Q1027">
        <f t="shared" si="217"/>
        <v>0.75756645112023768</v>
      </c>
      <c r="R1027">
        <f t="shared" si="218"/>
        <v>1.654379734523781E-2</v>
      </c>
      <c r="S1027" s="15">
        <f t="shared" si="219"/>
        <v>8.1097339906164204E-2</v>
      </c>
    </row>
    <row r="1028" spans="1:19" x14ac:dyDescent="0.3">
      <c r="A1028" s="2">
        <v>44013</v>
      </c>
      <c r="B1028">
        <v>2020</v>
      </c>
      <c r="C1028">
        <v>7</v>
      </c>
      <c r="D1028" t="s">
        <v>55</v>
      </c>
      <c r="E1028" t="s">
        <v>29</v>
      </c>
      <c r="F1028" t="s">
        <v>23</v>
      </c>
      <c r="G1028" t="s">
        <v>32</v>
      </c>
      <c r="H1028" t="s">
        <v>12</v>
      </c>
      <c r="I1028">
        <v>306.37</v>
      </c>
      <c r="J1028" s="8">
        <f t="shared" si="221"/>
        <v>3.4369830176575869E-2</v>
      </c>
      <c r="K1028" s="8">
        <f t="shared" si="222"/>
        <v>2.3232454713092534</v>
      </c>
      <c r="L1028" s="6">
        <f t="shared" si="220"/>
        <v>3.4805830176575868E-2</v>
      </c>
      <c r="M1028">
        <f t="shared" si="216"/>
        <v>0.14540177229061996</v>
      </c>
      <c r="N1028" s="15">
        <v>-4.3600000000000003E-4</v>
      </c>
      <c r="O1028" s="8">
        <f>(I1028 - MAX(I962:I1028)) / MAX(I962:I1028)</f>
        <v>0</v>
      </c>
      <c r="P1028" s="15">
        <v>-1.8499999999999999E-2</v>
      </c>
      <c r="Q1028">
        <f t="shared" si="217"/>
        <v>0.74495498574562413</v>
      </c>
      <c r="R1028">
        <f t="shared" si="218"/>
        <v>1.5294210631759002E-2</v>
      </c>
      <c r="S1028" s="15">
        <f t="shared" si="219"/>
        <v>8.0027712664874601E-2</v>
      </c>
    </row>
    <row r="1029" spans="1:19" x14ac:dyDescent="0.3">
      <c r="A1029" s="2">
        <v>44044</v>
      </c>
      <c r="B1029">
        <v>2020</v>
      </c>
      <c r="C1029">
        <v>8</v>
      </c>
      <c r="D1029" t="s">
        <v>55</v>
      </c>
      <c r="E1029" t="s">
        <v>29</v>
      </c>
      <c r="F1029" t="s">
        <v>23</v>
      </c>
      <c r="G1029" t="s">
        <v>32</v>
      </c>
      <c r="H1029" t="s">
        <v>12</v>
      </c>
      <c r="I1029">
        <v>345.39</v>
      </c>
      <c r="J1029" s="8">
        <f t="shared" si="221"/>
        <v>0.12736233965466587</v>
      </c>
      <c r="K1029" s="8">
        <f t="shared" si="222"/>
        <v>2.746501789781973</v>
      </c>
      <c r="L1029" s="6">
        <f t="shared" si="220"/>
        <v>0.12779833965466586</v>
      </c>
      <c r="M1029">
        <f t="shared" si="216"/>
        <v>0.2185060278077296</v>
      </c>
      <c r="N1029" s="15">
        <v>-4.3600000000000003E-4</v>
      </c>
      <c r="O1029" s="8">
        <f>(I1029 - MAX(I962:I1029)) / MAX(I962:I1029)</f>
        <v>0</v>
      </c>
      <c r="P1029" s="15">
        <v>3.09E-2</v>
      </c>
      <c r="Q1029">
        <f t="shared" si="217"/>
        <v>0.81441020981826173</v>
      </c>
      <c r="R1029">
        <f t="shared" si="218"/>
        <v>2.0042207745697004E-2</v>
      </c>
      <c r="S1029" s="15">
        <f t="shared" si="219"/>
        <v>8.6589637235641712E-2</v>
      </c>
    </row>
    <row r="1030" spans="1:19" x14ac:dyDescent="0.3">
      <c r="A1030" s="2">
        <v>44075</v>
      </c>
      <c r="B1030">
        <v>2020</v>
      </c>
      <c r="C1030">
        <v>9</v>
      </c>
      <c r="D1030" t="s">
        <v>55</v>
      </c>
      <c r="E1030" t="s">
        <v>29</v>
      </c>
      <c r="F1030" t="s">
        <v>23</v>
      </c>
      <c r="G1030" t="s">
        <v>32</v>
      </c>
      <c r="H1030" t="s">
        <v>12</v>
      </c>
      <c r="I1030">
        <v>326.20999999999998</v>
      </c>
      <c r="J1030" s="8">
        <f t="shared" si="221"/>
        <v>-5.55314282405397E-2</v>
      </c>
      <c r="K1030" s="8">
        <f t="shared" si="222"/>
        <v>2.5384531944896418</v>
      </c>
      <c r="L1030" s="6">
        <f t="shared" si="220"/>
        <v>-5.50944282405397E-2</v>
      </c>
      <c r="M1030">
        <f t="shared" si="216"/>
        <v>0.24559698645302713</v>
      </c>
      <c r="N1030" s="15">
        <v>-4.37E-4</v>
      </c>
      <c r="O1030" s="8">
        <f>(I1030 - MAX(I962:I1030)) / MAX(I962:I1030)</f>
        <v>-5.55314282405397E-2</v>
      </c>
      <c r="P1030" s="15">
        <v>-2.41E-2</v>
      </c>
      <c r="Q1030">
        <f t="shared" si="217"/>
        <v>0.97854644559389636</v>
      </c>
      <c r="R1030">
        <f t="shared" si="218"/>
        <v>2.7477292256656519E-2</v>
      </c>
      <c r="S1030" s="15">
        <f t="shared" si="219"/>
        <v>8.4557192054575153E-2</v>
      </c>
    </row>
    <row r="1031" spans="1:19" x14ac:dyDescent="0.3">
      <c r="A1031" s="2">
        <v>44105</v>
      </c>
      <c r="B1031">
        <v>2020</v>
      </c>
      <c r="C1031">
        <v>10</v>
      </c>
      <c r="D1031" t="s">
        <v>55</v>
      </c>
      <c r="E1031" t="s">
        <v>29</v>
      </c>
      <c r="F1031" t="s">
        <v>23</v>
      </c>
      <c r="G1031" t="s">
        <v>32</v>
      </c>
      <c r="H1031" t="s">
        <v>12</v>
      </c>
      <c r="I1031">
        <v>314.68</v>
      </c>
      <c r="J1031" s="8">
        <f t="shared" si="221"/>
        <v>-3.5345329695594778E-2</v>
      </c>
      <c r="K1031" s="8">
        <f t="shared" si="222"/>
        <v>2.4133853997179746</v>
      </c>
      <c r="L1031" s="6">
        <f t="shared" si="220"/>
        <v>-3.4839329695594778E-2</v>
      </c>
      <c r="M1031">
        <f t="shared" si="216"/>
        <v>0.24155832569162328</v>
      </c>
      <c r="N1031" s="15">
        <v>-5.0600000000000005E-4</v>
      </c>
      <c r="O1031" s="8">
        <f>(I1031 - MAX(I962:I1031)) / MAX(I962:I1031)</f>
        <v>-8.8913981296505337E-2</v>
      </c>
      <c r="P1031" s="15">
        <v>-7.3700000000000002E-2</v>
      </c>
      <c r="Q1031">
        <f t="shared" si="217"/>
        <v>1.0011886428354073</v>
      </c>
      <c r="R1031">
        <f t="shared" si="218"/>
        <v>3.4298414837427842E-2</v>
      </c>
      <c r="S1031" s="15">
        <f t="shared" si="219"/>
        <v>8.4765604791482693E-2</v>
      </c>
    </row>
    <row r="1032" spans="1:19" x14ac:dyDescent="0.3">
      <c r="A1032" s="2">
        <v>44136</v>
      </c>
      <c r="B1032">
        <v>2020</v>
      </c>
      <c r="C1032">
        <v>11</v>
      </c>
      <c r="D1032" t="s">
        <v>55</v>
      </c>
      <c r="E1032" t="s">
        <v>29</v>
      </c>
      <c r="F1032" t="s">
        <v>23</v>
      </c>
      <c r="G1032" t="s">
        <v>32</v>
      </c>
      <c r="H1032" t="s">
        <v>12</v>
      </c>
      <c r="I1032">
        <v>352.02</v>
      </c>
      <c r="J1032" s="8">
        <f t="shared" si="221"/>
        <v>0.118660226261599</v>
      </c>
      <c r="K1032" s="8">
        <f t="shared" si="222"/>
        <v>2.818418483566548</v>
      </c>
      <c r="L1032" s="6">
        <f t="shared" si="220"/>
        <v>0.119172226261599</v>
      </c>
      <c r="M1032">
        <f t="shared" si="216"/>
        <v>0.33567110707468933</v>
      </c>
      <c r="N1032" s="15">
        <v>-5.1199999999999998E-4</v>
      </c>
      <c r="O1032" s="8">
        <f>(I1032 - MAX(I962:I1032)) / MAX(I962:I1032)</f>
        <v>0</v>
      </c>
      <c r="P1032" s="15">
        <v>0.18060000000000001</v>
      </c>
      <c r="Q1032">
        <f t="shared" si="217"/>
        <v>0.80861300044672935</v>
      </c>
      <c r="R1032">
        <f t="shared" si="218"/>
        <v>3.0765120089892704E-2</v>
      </c>
      <c r="S1032" s="15">
        <f t="shared" si="219"/>
        <v>8.9172161697072067E-2</v>
      </c>
    </row>
    <row r="1033" spans="1:19" x14ac:dyDescent="0.3">
      <c r="A1033" s="2">
        <v>44166</v>
      </c>
      <c r="B1033">
        <v>2020</v>
      </c>
      <c r="C1033">
        <v>12</v>
      </c>
      <c r="D1033" t="s">
        <v>55</v>
      </c>
      <c r="E1033" t="s">
        <v>29</v>
      </c>
      <c r="F1033" t="s">
        <v>23</v>
      </c>
      <c r="G1033" t="s">
        <v>32</v>
      </c>
      <c r="H1033" t="s">
        <v>12</v>
      </c>
      <c r="I1033">
        <v>379.85</v>
      </c>
      <c r="J1033" s="8">
        <f t="shared" si="221"/>
        <v>7.9058008067723548E-2</v>
      </c>
      <c r="K1033" s="8">
        <f t="shared" si="222"/>
        <v>3.1202950428462968</v>
      </c>
      <c r="L1033" s="6">
        <f t="shared" si="220"/>
        <v>7.957300806772355E-2</v>
      </c>
      <c r="M1033">
        <f t="shared" si="216"/>
        <v>0.39487552324787517</v>
      </c>
      <c r="N1033" s="15">
        <v>-5.1500000000000005E-4</v>
      </c>
      <c r="O1033" s="8">
        <f>(I1033 - MAX(I962:I1033)) / MAX(I962:I1033)</f>
        <v>0</v>
      </c>
      <c r="P1033" s="15">
        <v>2.2599999999999999E-2</v>
      </c>
      <c r="Q1033">
        <f t="shared" si="217"/>
        <v>0.82137944592974343</v>
      </c>
      <c r="R1033">
        <f t="shared" si="218"/>
        <v>3.5673133561478124E-2</v>
      </c>
      <c r="S1033" s="15">
        <f t="shared" si="219"/>
        <v>9.0064413322171272E-2</v>
      </c>
    </row>
    <row r="1034" spans="1:19" x14ac:dyDescent="0.3">
      <c r="A1034" s="2">
        <v>44197</v>
      </c>
      <c r="B1034">
        <v>2021</v>
      </c>
      <c r="C1034">
        <v>1</v>
      </c>
      <c r="D1034" t="s">
        <v>55</v>
      </c>
      <c r="E1034" t="s">
        <v>29</v>
      </c>
      <c r="F1034" t="s">
        <v>23</v>
      </c>
      <c r="G1034" t="s">
        <v>32</v>
      </c>
      <c r="H1034" t="s">
        <v>12</v>
      </c>
      <c r="I1034">
        <v>361.23</v>
      </c>
      <c r="J1034" s="8">
        <f t="shared" si="221"/>
        <v>-4.9019349743319743E-2</v>
      </c>
      <c r="K1034" s="8">
        <f t="shared" si="222"/>
        <v>2.9183208590953473</v>
      </c>
      <c r="L1034" s="6">
        <f t="shared" si="220"/>
        <v>-4.8533349743319742E-2</v>
      </c>
      <c r="M1034">
        <f t="shared" si="216"/>
        <v>0.27742076298791463</v>
      </c>
      <c r="N1034" s="15">
        <v>-4.86E-4</v>
      </c>
      <c r="O1034" s="8">
        <f>(I1034 - MAX(I962:I1034)) / MAX(I962:I1034)</f>
        <v>-4.9019349743319743E-2</v>
      </c>
      <c r="P1034" s="15">
        <v>-2.52E-2</v>
      </c>
      <c r="Q1034">
        <f t="shared" si="217"/>
        <v>0.86064195325309945</v>
      </c>
      <c r="R1034">
        <f t="shared" si="218"/>
        <v>2.5475096795693524E-2</v>
      </c>
      <c r="S1034" s="15">
        <f t="shared" si="219"/>
        <v>9.2380063218856778E-2</v>
      </c>
    </row>
    <row r="1035" spans="1:19" x14ac:dyDescent="0.3">
      <c r="A1035" s="2">
        <v>44228</v>
      </c>
      <c r="B1035">
        <v>2021</v>
      </c>
      <c r="C1035">
        <v>2</v>
      </c>
      <c r="D1035" t="s">
        <v>55</v>
      </c>
      <c r="E1035" t="s">
        <v>29</v>
      </c>
      <c r="F1035" t="s">
        <v>23</v>
      </c>
      <c r="G1035" t="s">
        <v>32</v>
      </c>
      <c r="H1035" t="s">
        <v>12</v>
      </c>
      <c r="I1035">
        <v>390.14</v>
      </c>
      <c r="J1035" s="8">
        <f t="shared" si="221"/>
        <v>8.0032112504498432E-2</v>
      </c>
      <c r="K1035" s="8">
        <f t="shared" si="222"/>
        <v>3.2319123549191895</v>
      </c>
      <c r="L1035" s="6">
        <f t="shared" si="220"/>
        <v>8.0403112504498428E-2</v>
      </c>
      <c r="M1035">
        <f t="shared" si="216"/>
        <v>0.40590889068882141</v>
      </c>
      <c r="N1035" s="15">
        <v>-3.7100000000000002E-4</v>
      </c>
      <c r="O1035" s="8">
        <f>(I1035 - MAX(I962:I1035)) / MAX(I962:I1035)</f>
        <v>0</v>
      </c>
      <c r="P1035" s="15">
        <v>4.4499999999999998E-2</v>
      </c>
      <c r="Q1035">
        <f t="shared" si="217"/>
        <v>0.86330625598061261</v>
      </c>
      <c r="R1035">
        <f t="shared" si="218"/>
        <v>2.7109831494229516E-2</v>
      </c>
      <c r="S1035" s="15">
        <f t="shared" si="219"/>
        <v>9.0204029490158738E-2</v>
      </c>
    </row>
    <row r="1036" spans="1:19" x14ac:dyDescent="0.3">
      <c r="A1036" s="2">
        <v>44256</v>
      </c>
      <c r="B1036">
        <v>2021</v>
      </c>
      <c r="C1036">
        <v>3</v>
      </c>
      <c r="D1036" t="s">
        <v>55</v>
      </c>
      <c r="E1036" t="s">
        <v>29</v>
      </c>
      <c r="F1036" t="s">
        <v>23</v>
      </c>
      <c r="G1036" t="s">
        <v>32</v>
      </c>
      <c r="H1036" t="s">
        <v>12</v>
      </c>
      <c r="I1036">
        <v>383.06</v>
      </c>
      <c r="J1036" s="8">
        <f t="shared" si="221"/>
        <v>-1.8147331727072294E-2</v>
      </c>
      <c r="K1036" s="8">
        <f t="shared" si="222"/>
        <v>3.155114437574575</v>
      </c>
      <c r="L1036" s="6">
        <f t="shared" si="220"/>
        <v>-1.7843331727072295E-2</v>
      </c>
      <c r="M1036">
        <f t="shared" si="216"/>
        <v>0.6167233375714648</v>
      </c>
      <c r="N1036" s="15">
        <v>-3.0400000000000002E-4</v>
      </c>
      <c r="O1036" s="8">
        <f>(I1036 - MAX(I962:I1036)) / MAX(I962:I1036)</f>
        <v>-1.8147331727072294E-2</v>
      </c>
      <c r="P1036" s="15">
        <v>7.7800000000000008E-2</v>
      </c>
      <c r="Q1036">
        <f t="shared" si="217"/>
        <v>0.65798803563421981</v>
      </c>
      <c r="R1036">
        <f t="shared" si="218"/>
        <v>2.588777986462169E-2</v>
      </c>
      <c r="S1036" s="15">
        <f t="shared" si="219"/>
        <v>7.511898293108997E-2</v>
      </c>
    </row>
    <row r="1037" spans="1:19" x14ac:dyDescent="0.3">
      <c r="A1037" s="2">
        <v>44287</v>
      </c>
      <c r="B1037">
        <v>2021</v>
      </c>
      <c r="C1037">
        <v>4</v>
      </c>
      <c r="D1037" t="s">
        <v>55</v>
      </c>
      <c r="E1037" t="s">
        <v>29</v>
      </c>
      <c r="F1037" t="s">
        <v>23</v>
      </c>
      <c r="G1037" t="s">
        <v>32</v>
      </c>
      <c r="H1037" t="s">
        <v>12</v>
      </c>
      <c r="I1037">
        <v>412.16</v>
      </c>
      <c r="J1037" s="8">
        <f t="shared" si="221"/>
        <v>7.5967211402913445E-2</v>
      </c>
      <c r="K1037" s="8">
        <f t="shared" si="222"/>
        <v>3.4707668944571006</v>
      </c>
      <c r="L1037" s="6">
        <f t="shared" si="220"/>
        <v>7.6238211402913439E-2</v>
      </c>
      <c r="M1037">
        <f t="shared" ref="M1037:M1068" si="223">(AVERAGE(J1026:J1037)-AVERAGE(N1026:N1037))/STDEV(J1026:J1037)</f>
        <v>0.59103612427164209</v>
      </c>
      <c r="N1037" s="15">
        <v>-2.7099999999999997E-4</v>
      </c>
      <c r="O1037" s="8">
        <f>(I1037 - MAX(I962:I1037)) / MAX(I962:I1037)</f>
        <v>0</v>
      </c>
      <c r="P1037" s="15">
        <v>1.4200000000000001E-2</v>
      </c>
      <c r="Q1037">
        <f t="shared" ref="Q1037:Q1068" si="224" xml:space="preserve"> _xlfn.COVARIANCE.P(J1026:J1037, P1026:P1037) / _xlfn.VAR.P(P1026:P1037)</f>
        <v>0.58836929049299291</v>
      </c>
      <c r="R1037">
        <f t="shared" ref="R1037:R1068" si="225">AVERAGE(J1026:J1037)-(AVERAGE(N1026:N1037)+Q1037*(AVERAGE(P1026:P1037)-AVERAGE(N1026:N1037)))</f>
        <v>2.1738268788590507E-2</v>
      </c>
      <c r="S1037" s="15">
        <f t="shared" ref="S1037:S1068" si="226">STDEV(J1026:J1037)</f>
        <v>6.4675659470799007E-2</v>
      </c>
    </row>
    <row r="1038" spans="1:19" x14ac:dyDescent="0.3">
      <c r="A1038" s="2">
        <v>44317</v>
      </c>
      <c r="B1038">
        <v>2021</v>
      </c>
      <c r="C1038">
        <v>5</v>
      </c>
      <c r="D1038" t="s">
        <v>55</v>
      </c>
      <c r="E1038" t="s">
        <v>29</v>
      </c>
      <c r="F1038" t="s">
        <v>23</v>
      </c>
      <c r="G1038" t="s">
        <v>32</v>
      </c>
      <c r="H1038" t="s">
        <v>12</v>
      </c>
      <c r="I1038">
        <v>439.09</v>
      </c>
      <c r="J1038" s="8">
        <f t="shared" si="221"/>
        <v>6.5338703416148947E-2</v>
      </c>
      <c r="K1038" s="8">
        <f t="shared" si="222"/>
        <v>3.7628810066167704</v>
      </c>
      <c r="L1038" s="6">
        <f t="shared" si="220"/>
        <v>6.5524703416148952E-2</v>
      </c>
      <c r="M1038">
        <f t="shared" si="223"/>
        <v>0.58147721491750748</v>
      </c>
      <c r="N1038" s="15">
        <v>-1.8599999999999999E-4</v>
      </c>
      <c r="O1038" s="8">
        <f>(I1038 - MAX(I962:I1038)) / MAX(I962:I1038)</f>
        <v>0</v>
      </c>
      <c r="P1038" s="15">
        <v>1.6299999999999999E-2</v>
      </c>
      <c r="Q1038">
        <f t="shared" si="224"/>
        <v>0.57073254434543652</v>
      </c>
      <c r="R1038">
        <f t="shared" si="225"/>
        <v>2.2546754129692353E-2</v>
      </c>
      <c r="S1038" s="15">
        <f t="shared" si="226"/>
        <v>6.4173632431878402E-2</v>
      </c>
    </row>
    <row r="1039" spans="1:19" x14ac:dyDescent="0.3">
      <c r="A1039" s="2">
        <v>44348</v>
      </c>
      <c r="B1039">
        <v>2021</v>
      </c>
      <c r="C1039">
        <v>6</v>
      </c>
      <c r="D1039" t="s">
        <v>55</v>
      </c>
      <c r="E1039" t="s">
        <v>29</v>
      </c>
      <c r="F1039" t="s">
        <v>23</v>
      </c>
      <c r="G1039" t="s">
        <v>32</v>
      </c>
      <c r="H1039" t="s">
        <v>12</v>
      </c>
      <c r="I1039">
        <v>490.17</v>
      </c>
      <c r="J1039" s="8">
        <f t="shared" si="221"/>
        <v>0.11633150379193341</v>
      </c>
      <c r="K1039" s="8">
        <f t="shared" si="222"/>
        <v>4.316954116498537</v>
      </c>
      <c r="L1039" s="6">
        <f t="shared" si="220"/>
        <v>0.11657250379193342</v>
      </c>
      <c r="M1039">
        <f t="shared" si="223"/>
        <v>0.66839776922107441</v>
      </c>
      <c r="N1039" s="15">
        <v>-2.41E-4</v>
      </c>
      <c r="O1039" s="8">
        <f>(I1039 - MAX(I962:I1039)) / MAX(I962:I1039)</f>
        <v>0</v>
      </c>
      <c r="P1039" s="15">
        <v>6.1000000000000004E-3</v>
      </c>
      <c r="Q1039">
        <f t="shared" si="224"/>
        <v>0.57286207528649169</v>
      </c>
      <c r="R1039">
        <f t="shared" si="225"/>
        <v>3.3084138276588126E-2</v>
      </c>
      <c r="S1039" s="15">
        <f t="shared" si="226"/>
        <v>6.7796143866950889E-2</v>
      </c>
    </row>
    <row r="1040" spans="1:19" x14ac:dyDescent="0.3">
      <c r="A1040" s="2">
        <v>44378</v>
      </c>
      <c r="B1040">
        <v>2021</v>
      </c>
      <c r="C1040">
        <v>7</v>
      </c>
      <c r="D1040" t="s">
        <v>55</v>
      </c>
      <c r="E1040" t="s">
        <v>29</v>
      </c>
      <c r="F1040" t="s">
        <v>23</v>
      </c>
      <c r="G1040" t="s">
        <v>32</v>
      </c>
      <c r="H1040" t="s">
        <v>12</v>
      </c>
      <c r="I1040">
        <v>529.97</v>
      </c>
      <c r="J1040" s="8">
        <f t="shared" si="221"/>
        <v>8.1196319644205095E-2</v>
      </c>
      <c r="K1040" s="8">
        <f t="shared" si="222"/>
        <v>4.7486712224753242</v>
      </c>
      <c r="L1040" s="6">
        <f t="shared" si="220"/>
        <v>8.1572319644205096E-2</v>
      </c>
      <c r="M1040">
        <f t="shared" si="223"/>
        <v>0.71865734728321218</v>
      </c>
      <c r="N1040" s="15">
        <v>-3.7599999999999998E-4</v>
      </c>
      <c r="O1040" s="8">
        <f>(I1040 - MAX(I962:I1040)) / MAX(I962:I1040)</f>
        <v>0</v>
      </c>
      <c r="P1040" s="15">
        <v>6.1999999999999998E-3</v>
      </c>
      <c r="Q1040">
        <f t="shared" si="224"/>
        <v>0.56699791822674983</v>
      </c>
      <c r="R1040">
        <f t="shared" si="225"/>
        <v>3.5942310248703556E-2</v>
      </c>
      <c r="S1040" s="15">
        <f t="shared" si="226"/>
        <v>6.8477695196655461E-2</v>
      </c>
    </row>
    <row r="1041" spans="1:19" x14ac:dyDescent="0.3">
      <c r="A1041" s="2">
        <v>44409</v>
      </c>
      <c r="B1041">
        <v>2021</v>
      </c>
      <c r="C1041">
        <v>8</v>
      </c>
      <c r="D1041" t="s">
        <v>55</v>
      </c>
      <c r="E1041" t="s">
        <v>29</v>
      </c>
      <c r="F1041" t="s">
        <v>23</v>
      </c>
      <c r="G1041" t="s">
        <v>32</v>
      </c>
      <c r="H1041" t="s">
        <v>12</v>
      </c>
      <c r="I1041">
        <v>566.11</v>
      </c>
      <c r="J1041" s="8">
        <f t="shared" si="221"/>
        <v>6.8192539200332067E-2</v>
      </c>
      <c r="K1041" s="8">
        <f t="shared" si="222"/>
        <v>5.1406877101637933</v>
      </c>
      <c r="L1041" s="6">
        <f t="shared" si="220"/>
        <v>6.8641539200332072E-2</v>
      </c>
      <c r="M1041">
        <f t="shared" si="223"/>
        <v>0.68855341617647592</v>
      </c>
      <c r="N1041" s="15">
        <v>-4.4900000000000002E-4</v>
      </c>
      <c r="O1041" s="8">
        <f>(I1041 - MAX(I962:I1041)) / MAX(I962:I1041)</f>
        <v>0</v>
      </c>
      <c r="P1041" s="15">
        <v>2.6200000000000001E-2</v>
      </c>
      <c r="Q1041">
        <f t="shared" si="224"/>
        <v>0.55417293162488823</v>
      </c>
      <c r="R1041">
        <f t="shared" si="225"/>
        <v>3.1529176093573995E-2</v>
      </c>
      <c r="S1041" s="15">
        <f t="shared" si="226"/>
        <v>6.431202629536116E-2</v>
      </c>
    </row>
    <row r="1042" spans="1:19" x14ac:dyDescent="0.3">
      <c r="A1042" s="2">
        <v>44440</v>
      </c>
      <c r="B1042">
        <v>2021</v>
      </c>
      <c r="C1042">
        <v>9</v>
      </c>
      <c r="D1042" t="s">
        <v>55</v>
      </c>
      <c r="E1042" t="s">
        <v>29</v>
      </c>
      <c r="F1042" t="s">
        <v>23</v>
      </c>
      <c r="G1042" t="s">
        <v>32</v>
      </c>
      <c r="H1042" t="s">
        <v>12</v>
      </c>
      <c r="I1042">
        <v>539.51</v>
      </c>
      <c r="J1042" s="8">
        <f t="shared" si="221"/>
        <v>-4.6987334616947277E-2</v>
      </c>
      <c r="K1042" s="8">
        <f t="shared" si="222"/>
        <v>4.8521531619481513</v>
      </c>
      <c r="L1042" s="6">
        <f t="shared" si="220"/>
        <v>-4.668533461694728E-2</v>
      </c>
      <c r="M1042">
        <f t="shared" si="223"/>
        <v>0.71234324451746422</v>
      </c>
      <c r="N1042" s="15">
        <v>-3.0200000000000002E-4</v>
      </c>
      <c r="O1042" s="8">
        <f>(I1042 - MAX(I962:I1042)) / MAX(I962:I1042)</f>
        <v>-4.6987334616947277E-2</v>
      </c>
      <c r="P1042" s="15">
        <v>-3.5299999999999998E-2</v>
      </c>
      <c r="Q1042">
        <f t="shared" si="224"/>
        <v>0.55378445983537727</v>
      </c>
      <c r="R1042">
        <f t="shared" si="225"/>
        <v>3.2761969303106264E-2</v>
      </c>
      <c r="S1042" s="15">
        <f t="shared" si="226"/>
        <v>6.3147960698833439E-2</v>
      </c>
    </row>
    <row r="1043" spans="1:19" x14ac:dyDescent="0.3">
      <c r="A1043" s="2">
        <v>44470</v>
      </c>
      <c r="B1043">
        <v>2021</v>
      </c>
      <c r="C1043">
        <v>10</v>
      </c>
      <c r="D1043" t="s">
        <v>55</v>
      </c>
      <c r="E1043" t="s">
        <v>29</v>
      </c>
      <c r="F1043" t="s">
        <v>23</v>
      </c>
      <c r="G1043" t="s">
        <v>32</v>
      </c>
      <c r="H1043" t="s">
        <v>12</v>
      </c>
      <c r="I1043">
        <v>625.99</v>
      </c>
      <c r="J1043" s="8">
        <f t="shared" si="221"/>
        <v>0.16029359974791946</v>
      </c>
      <c r="K1043" s="8">
        <f t="shared" si="222"/>
        <v>5.7902158585529904</v>
      </c>
      <c r="L1043" s="6">
        <f t="shared" si="220"/>
        <v>0.16046359974791946</v>
      </c>
      <c r="M1043">
        <f t="shared" si="223"/>
        <v>0.93058640434183515</v>
      </c>
      <c r="N1043" s="15">
        <v>-1.7000000000000001E-4</v>
      </c>
      <c r="O1043" s="8">
        <f>(I1043 - MAX(I962:I1043)) / MAX(I962:I1043)</f>
        <v>0</v>
      </c>
      <c r="P1043" s="15">
        <v>0.05</v>
      </c>
      <c r="Q1043">
        <f t="shared" si="224"/>
        <v>0.52284258717531373</v>
      </c>
      <c r="R1043">
        <f t="shared" si="225"/>
        <v>4.434505032770495E-2</v>
      </c>
      <c r="S1043" s="15">
        <f t="shared" si="226"/>
        <v>6.5827597570036062E-2</v>
      </c>
    </row>
    <row r="1044" spans="1:19" x14ac:dyDescent="0.3">
      <c r="A1044" s="2">
        <v>44501</v>
      </c>
      <c r="B1044">
        <v>2021</v>
      </c>
      <c r="C1044">
        <v>11</v>
      </c>
      <c r="D1044" t="s">
        <v>55</v>
      </c>
      <c r="E1044" t="s">
        <v>29</v>
      </c>
      <c r="F1044" t="s">
        <v>23</v>
      </c>
      <c r="G1044" t="s">
        <v>32</v>
      </c>
      <c r="H1044" t="s">
        <v>12</v>
      </c>
      <c r="I1044">
        <v>652.29999999999995</v>
      </c>
      <c r="J1044" s="8">
        <f t="shared" si="221"/>
        <v>4.2029425390181861E-2</v>
      </c>
      <c r="K1044" s="8">
        <f t="shared" si="222"/>
        <v>6.0756047293632731</v>
      </c>
      <c r="L1044" s="6">
        <f t="shared" si="220"/>
        <v>4.2290425390181859E-2</v>
      </c>
      <c r="M1044">
        <f t="shared" si="223"/>
        <v>0.86533295670089205</v>
      </c>
      <c r="N1044" s="15">
        <v>-2.61E-4</v>
      </c>
      <c r="O1044" s="8">
        <f>(I1044 - MAX(I962:I1044)) / MAX(I962:I1044)</f>
        <v>0</v>
      </c>
      <c r="P1044" s="15">
        <v>-4.41E-2</v>
      </c>
      <c r="Q1044">
        <f t="shared" si="224"/>
        <v>0.67569088026007407</v>
      </c>
      <c r="R1044">
        <f t="shared" si="225"/>
        <v>4.566025277599204E-2</v>
      </c>
      <c r="S1044" s="15">
        <f t="shared" si="226"/>
        <v>6.338768235408393E-2</v>
      </c>
    </row>
    <row r="1045" spans="1:19" x14ac:dyDescent="0.3">
      <c r="A1045" s="2">
        <v>44531</v>
      </c>
      <c r="B1045">
        <v>2021</v>
      </c>
      <c r="C1045">
        <v>12</v>
      </c>
      <c r="D1045" t="s">
        <v>55</v>
      </c>
      <c r="E1045" t="s">
        <v>29</v>
      </c>
      <c r="F1045" t="s">
        <v>23</v>
      </c>
      <c r="G1045" t="s">
        <v>32</v>
      </c>
      <c r="H1045" t="s">
        <v>12</v>
      </c>
      <c r="I1045">
        <v>643.22</v>
      </c>
      <c r="J1045" s="8">
        <f t="shared" si="221"/>
        <v>-1.391997547140875E-2</v>
      </c>
      <c r="K1045" s="8">
        <f t="shared" si="222"/>
        <v>5.9771124850851525</v>
      </c>
      <c r="L1045" s="6">
        <f t="shared" si="220"/>
        <v>-1.3599975471408749E-2</v>
      </c>
      <c r="M1045">
        <f t="shared" si="223"/>
        <v>0.71610365251838681</v>
      </c>
      <c r="N1045" s="15">
        <v>-3.2000000000000003E-4</v>
      </c>
      <c r="O1045" s="8">
        <f>(I1045 - MAX(I962:I1045)) / MAX(I962:I1045)</f>
        <v>-1.391997547140875E-2</v>
      </c>
      <c r="P1045" s="15">
        <v>5.9800000000000013E-2</v>
      </c>
      <c r="Q1045">
        <f t="shared" si="224"/>
        <v>0.3965876549366748</v>
      </c>
      <c r="R1045">
        <f t="shared" si="225"/>
        <v>4.0469408439819138E-2</v>
      </c>
      <c r="S1045" s="15">
        <f t="shared" si="226"/>
        <v>6.5754496753861635E-2</v>
      </c>
    </row>
    <row r="1046" spans="1:19" x14ac:dyDescent="0.3">
      <c r="A1046" s="2">
        <v>44562</v>
      </c>
      <c r="B1046">
        <v>2022</v>
      </c>
      <c r="C1046">
        <v>1</v>
      </c>
      <c r="D1046" t="s">
        <v>55</v>
      </c>
      <c r="E1046" t="s">
        <v>29</v>
      </c>
      <c r="F1046" t="s">
        <v>23</v>
      </c>
      <c r="G1046" t="s">
        <v>32</v>
      </c>
      <c r="H1046" t="s">
        <v>12</v>
      </c>
      <c r="I1046">
        <v>555.23</v>
      </c>
      <c r="J1046" s="8">
        <f t="shared" si="221"/>
        <v>-0.13679611952364665</v>
      </c>
      <c r="K1046" s="8">
        <f t="shared" si="222"/>
        <v>5.0226705716455164</v>
      </c>
      <c r="L1046" s="6">
        <f t="shared" si="220"/>
        <v>-0.13670011952364663</v>
      </c>
      <c r="M1046">
        <f t="shared" si="223"/>
        <v>0.49311843248536857</v>
      </c>
      <c r="N1046" s="15">
        <v>-9.6000000000000002E-5</v>
      </c>
      <c r="O1046" s="8">
        <f>(I1046 - MAX(I962:I1046)) / MAX(I962:I1046)</f>
        <v>-0.14881189636670236</v>
      </c>
      <c r="P1046" s="15">
        <v>-3.0499999999999999E-2</v>
      </c>
      <c r="Q1046">
        <f t="shared" si="224"/>
        <v>0.66457213318242347</v>
      </c>
      <c r="R1046">
        <f t="shared" si="225"/>
        <v>2.8965594913734738E-2</v>
      </c>
      <c r="S1046" s="15">
        <f t="shared" si="226"/>
        <v>8.0588762986669754E-2</v>
      </c>
    </row>
    <row r="1047" spans="1:19" x14ac:dyDescent="0.3">
      <c r="A1047" s="2">
        <v>44593</v>
      </c>
      <c r="B1047">
        <v>2022</v>
      </c>
      <c r="C1047">
        <v>2</v>
      </c>
      <c r="D1047" t="s">
        <v>55</v>
      </c>
      <c r="E1047" t="s">
        <v>29</v>
      </c>
      <c r="F1047" t="s">
        <v>23</v>
      </c>
      <c r="G1047" t="s">
        <v>32</v>
      </c>
      <c r="H1047" t="s">
        <v>12</v>
      </c>
      <c r="I1047">
        <v>474.37</v>
      </c>
      <c r="J1047" s="8">
        <f t="shared" si="221"/>
        <v>-0.14563334113790682</v>
      </c>
      <c r="K1047" s="8">
        <f t="shared" si="222"/>
        <v>4.1455689337238324</v>
      </c>
      <c r="L1047" s="6">
        <f t="shared" si="220"/>
        <v>-0.14575834113790681</v>
      </c>
      <c r="M1047">
        <f t="shared" si="223"/>
        <v>0.21933611805758965</v>
      </c>
      <c r="N1047" s="15">
        <v>1.25E-4</v>
      </c>
      <c r="O1047" s="8">
        <f>(I1047 - MAX(I962:I1047)) / MAX(I962:I1047)</f>
        <v>-0.27277326383565836</v>
      </c>
      <c r="P1047" s="15">
        <v>-0.06</v>
      </c>
      <c r="Q1047">
        <f t="shared" si="224"/>
        <v>1.0677361810885444</v>
      </c>
      <c r="R1047">
        <f t="shared" si="225"/>
        <v>1.2924946446999354E-2</v>
      </c>
      <c r="S1047" s="15">
        <f t="shared" si="226"/>
        <v>9.5255705541856833E-2</v>
      </c>
    </row>
    <row r="1048" spans="1:19" x14ac:dyDescent="0.3">
      <c r="A1048" s="2">
        <v>44621</v>
      </c>
      <c r="B1048">
        <v>2022</v>
      </c>
      <c r="C1048">
        <v>3</v>
      </c>
      <c r="D1048" t="s">
        <v>55</v>
      </c>
      <c r="E1048" t="s">
        <v>29</v>
      </c>
      <c r="F1048" t="s">
        <v>23</v>
      </c>
      <c r="G1048" t="s">
        <v>32</v>
      </c>
      <c r="H1048" t="s">
        <v>12</v>
      </c>
      <c r="I1048">
        <v>480.84</v>
      </c>
      <c r="J1048" s="8">
        <f t="shared" si="221"/>
        <v>1.3639142441553998E-2</v>
      </c>
      <c r="K1048" s="8">
        <f t="shared" si="222"/>
        <v>4.2157500813537272</v>
      </c>
      <c r="L1048" s="6">
        <f t="shared" si="220"/>
        <v>1.3404142441553997E-2</v>
      </c>
      <c r="M1048">
        <f t="shared" si="223"/>
        <v>0.24859869359614278</v>
      </c>
      <c r="N1048" s="15">
        <v>2.3499999999999999E-4</v>
      </c>
      <c r="O1048" s="8">
        <f>(I1048 - MAX(I962:I1048)) / MAX(I962:I1048)</f>
        <v>-0.2628545147938065</v>
      </c>
      <c r="P1048" s="15">
        <v>-5.5000000000000014E-3</v>
      </c>
      <c r="Q1048">
        <f t="shared" si="224"/>
        <v>1.6529664487153115</v>
      </c>
      <c r="R1048">
        <f t="shared" si="225"/>
        <v>2.2710160827518071E-2</v>
      </c>
      <c r="S1048" s="15">
        <f t="shared" si="226"/>
        <v>9.4517684373990371E-2</v>
      </c>
    </row>
    <row r="1049" spans="1:19" x14ac:dyDescent="0.3">
      <c r="A1049" s="2">
        <v>44652</v>
      </c>
      <c r="B1049">
        <v>2022</v>
      </c>
      <c r="C1049">
        <v>4</v>
      </c>
      <c r="D1049" t="s">
        <v>55</v>
      </c>
      <c r="E1049" t="s">
        <v>29</v>
      </c>
      <c r="F1049" t="s">
        <v>23</v>
      </c>
      <c r="G1049" t="s">
        <v>32</v>
      </c>
      <c r="H1049" t="s">
        <v>12</v>
      </c>
      <c r="I1049">
        <v>418.75</v>
      </c>
      <c r="J1049" s="8">
        <f t="shared" si="221"/>
        <v>-0.12912819233008896</v>
      </c>
      <c r="K1049" s="8">
        <f t="shared" si="222"/>
        <v>3.5422497017030059</v>
      </c>
      <c r="L1049" s="6">
        <f t="shared" si="220"/>
        <v>-0.12975019233008897</v>
      </c>
      <c r="M1049">
        <f t="shared" si="223"/>
        <v>6.1860188773103751E-2</v>
      </c>
      <c r="N1049" s="15">
        <v>6.2200000000000005E-4</v>
      </c>
      <c r="O1049" s="8">
        <f>(I1049 - MAX(I962:I1049)) / MAX(I962:I1049)</f>
        <v>-0.35804077878276863</v>
      </c>
      <c r="P1049" s="15">
        <v>-2.5499999999999998E-2</v>
      </c>
      <c r="Q1049">
        <f t="shared" si="224"/>
        <v>1.7800918867433426</v>
      </c>
      <c r="R1049">
        <f t="shared" si="225"/>
        <v>1.150555463781424E-2</v>
      </c>
      <c r="S1049" s="15">
        <f t="shared" si="226"/>
        <v>0.1023480961114657</v>
      </c>
    </row>
    <row r="1050" spans="1:19" x14ac:dyDescent="0.3">
      <c r="A1050" s="2">
        <v>44682</v>
      </c>
      <c r="B1050">
        <v>2022</v>
      </c>
      <c r="C1050">
        <v>5</v>
      </c>
      <c r="D1050" t="s">
        <v>55</v>
      </c>
      <c r="E1050" t="s">
        <v>29</v>
      </c>
      <c r="F1050" t="s">
        <v>23</v>
      </c>
      <c r="G1050" t="s">
        <v>32</v>
      </c>
      <c r="H1050" t="s">
        <v>12</v>
      </c>
      <c r="I1050">
        <v>414.46</v>
      </c>
      <c r="J1050" s="8">
        <f t="shared" si="221"/>
        <v>-1.0244776119403033E-2</v>
      </c>
      <c r="K1050" s="8">
        <f t="shared" si="222"/>
        <v>3.4957153704306334</v>
      </c>
      <c r="L1050" s="6">
        <f t="shared" si="220"/>
        <v>-1.1038776119403033E-2</v>
      </c>
      <c r="M1050">
        <f t="shared" si="223"/>
        <v>-4.8681040404298658E-4</v>
      </c>
      <c r="N1050" s="15">
        <v>7.94E-4</v>
      </c>
      <c r="O1050" s="8">
        <f>(I1050 - MAX(I962:I1050)) / MAX(I962:I1050)</f>
        <v>-0.36461750728192549</v>
      </c>
      <c r="P1050" s="15">
        <v>-3.5999999999999999E-3</v>
      </c>
      <c r="Q1050">
        <f t="shared" si="224"/>
        <v>1.744364174597105</v>
      </c>
      <c r="R1050">
        <f t="shared" si="225"/>
        <v>8.0566068130361254E-3</v>
      </c>
      <c r="S1050" s="15">
        <f t="shared" si="226"/>
        <v>0.10069097715635786</v>
      </c>
    </row>
    <row r="1051" spans="1:19" x14ac:dyDescent="0.3">
      <c r="A1051" s="2">
        <v>44713</v>
      </c>
      <c r="B1051">
        <v>2022</v>
      </c>
      <c r="C1051">
        <v>6</v>
      </c>
      <c r="D1051" t="s">
        <v>55</v>
      </c>
      <c r="E1051" t="s">
        <v>29</v>
      </c>
      <c r="F1051" t="s">
        <v>23</v>
      </c>
      <c r="G1051" t="s">
        <v>32</v>
      </c>
      <c r="H1051" t="s">
        <v>12</v>
      </c>
      <c r="I1051">
        <v>385.44</v>
      </c>
      <c r="J1051" s="8">
        <f t="shared" si="221"/>
        <v>-7.0018819668966809E-2</v>
      </c>
      <c r="K1051" s="8">
        <f t="shared" si="222"/>
        <v>3.1809306866254481</v>
      </c>
      <c r="L1051" s="6">
        <f t="shared" si="220"/>
        <v>-7.1222819668966805E-2</v>
      </c>
      <c r="M1051">
        <f t="shared" si="223"/>
        <v>-0.16467392164351471</v>
      </c>
      <c r="N1051" s="15">
        <v>1.204E-3</v>
      </c>
      <c r="O1051" s="8">
        <f>(I1051 - MAX(I962:I1051)) / MAX(I962:I1051)</f>
        <v>-0.40910623946037095</v>
      </c>
      <c r="P1051" s="15">
        <v>-8.8200000000000001E-2</v>
      </c>
      <c r="Q1051">
        <f t="shared" si="224"/>
        <v>1.3866341584847803</v>
      </c>
      <c r="R1051">
        <f t="shared" si="225"/>
        <v>1.808321864268268E-3</v>
      </c>
      <c r="S1051" s="15">
        <f t="shared" si="226"/>
        <v>9.5331595598152033E-2</v>
      </c>
    </row>
    <row r="1052" spans="1:19" x14ac:dyDescent="0.3">
      <c r="A1052" s="2">
        <v>44743</v>
      </c>
      <c r="B1052">
        <v>2022</v>
      </c>
      <c r="C1052">
        <v>7</v>
      </c>
      <c r="D1052" t="s">
        <v>55</v>
      </c>
      <c r="E1052" t="s">
        <v>29</v>
      </c>
      <c r="F1052" t="s">
        <v>23</v>
      </c>
      <c r="G1052" t="s">
        <v>32</v>
      </c>
      <c r="H1052" t="s">
        <v>12</v>
      </c>
      <c r="I1052">
        <v>456.17</v>
      </c>
      <c r="J1052" s="8">
        <f t="shared" si="221"/>
        <v>0.18350456621004571</v>
      </c>
      <c r="K1052" s="8">
        <f t="shared" si="222"/>
        <v>3.9481505586289192</v>
      </c>
      <c r="L1052" s="6">
        <f t="shared" si="220"/>
        <v>0.18260256621004572</v>
      </c>
      <c r="M1052">
        <f t="shared" si="223"/>
        <v>-6.7123146984863102E-2</v>
      </c>
      <c r="N1052" s="15">
        <v>9.0200000000000002E-4</v>
      </c>
      <c r="O1052" s="8">
        <f>(I1052 - MAX(I962:I1052)) / MAX(I962:I1052)</f>
        <v>-0.30067453625632368</v>
      </c>
      <c r="P1052" s="15">
        <v>7.3300000000000004E-2</v>
      </c>
      <c r="Q1052">
        <f t="shared" si="224"/>
        <v>1.5846827006609696</v>
      </c>
      <c r="R1052">
        <f t="shared" si="225"/>
        <v>4.035722220424939E-3</v>
      </c>
      <c r="S1052" s="15">
        <f t="shared" si="226"/>
        <v>0.10844903460058047</v>
      </c>
    </row>
    <row r="1053" spans="1:19" x14ac:dyDescent="0.3">
      <c r="A1053" s="2">
        <v>44774</v>
      </c>
      <c r="B1053">
        <v>2022</v>
      </c>
      <c r="C1053">
        <v>8</v>
      </c>
      <c r="D1053" t="s">
        <v>55</v>
      </c>
      <c r="E1053" t="s">
        <v>29</v>
      </c>
      <c r="F1053" t="s">
        <v>23</v>
      </c>
      <c r="G1053" t="s">
        <v>32</v>
      </c>
      <c r="H1053" t="s">
        <v>12</v>
      </c>
      <c r="I1053">
        <v>431.78</v>
      </c>
      <c r="J1053" s="8">
        <f t="shared" si="221"/>
        <v>-5.3466909266282399E-2</v>
      </c>
      <c r="K1053" s="8">
        <f t="shared" si="222"/>
        <v>3.6835882416748023</v>
      </c>
      <c r="L1053" s="6">
        <f t="shared" si="220"/>
        <v>-5.4328909266282401E-2</v>
      </c>
      <c r="M1053">
        <f t="shared" si="223"/>
        <v>-0.16466594545105276</v>
      </c>
      <c r="N1053" s="15">
        <v>8.6200000000000003E-4</v>
      </c>
      <c r="O1053" s="8">
        <f>(I1053 - MAX(I962:I1053)) / MAX(I962:I1053)</f>
        <v>-0.33806530737390772</v>
      </c>
      <c r="P1053" s="15">
        <v>-5.1499999999999997E-2</v>
      </c>
      <c r="Q1053">
        <f t="shared" si="224"/>
        <v>1.5198597980476318</v>
      </c>
      <c r="R1053">
        <f t="shared" si="225"/>
        <v>3.3324645912087524E-3</v>
      </c>
      <c r="S1053" s="15">
        <f t="shared" si="226"/>
        <v>0.10643960300394391</v>
      </c>
    </row>
    <row r="1054" spans="1:19" x14ac:dyDescent="0.3">
      <c r="A1054" s="2">
        <v>44805</v>
      </c>
      <c r="B1054">
        <v>2022</v>
      </c>
      <c r="C1054">
        <v>9</v>
      </c>
      <c r="D1054" t="s">
        <v>55</v>
      </c>
      <c r="E1054" t="s">
        <v>29</v>
      </c>
      <c r="F1054" t="s">
        <v>23</v>
      </c>
      <c r="G1054" t="s">
        <v>32</v>
      </c>
      <c r="H1054" t="s">
        <v>12</v>
      </c>
      <c r="I1054">
        <v>387.32</v>
      </c>
      <c r="J1054" s="8">
        <f t="shared" si="221"/>
        <v>-0.10296910463662046</v>
      </c>
      <c r="K1054" s="8">
        <f t="shared" si="222"/>
        <v>3.2013233539429446</v>
      </c>
      <c r="L1054" s="6">
        <f t="shared" si="220"/>
        <v>-0.10446510463662045</v>
      </c>
      <c r="M1054">
        <f t="shared" si="223"/>
        <v>-0.20486466796210326</v>
      </c>
      <c r="N1054" s="15">
        <v>1.4959999999999999E-3</v>
      </c>
      <c r="O1054" s="8">
        <f>(I1054 - MAX(I962:I1054)) / MAX(I962:I1054)</f>
        <v>-0.40622413000153301</v>
      </c>
      <c r="P1054" s="15">
        <v>-5.6599999999999998E-2</v>
      </c>
      <c r="Q1054">
        <f t="shared" si="224"/>
        <v>1.5504951083671628</v>
      </c>
      <c r="R1054">
        <f t="shared" si="225"/>
        <v>1.9223852934143054E-3</v>
      </c>
      <c r="S1054" s="15">
        <f t="shared" si="226"/>
        <v>0.10905715914461549</v>
      </c>
    </row>
    <row r="1055" spans="1:19" x14ac:dyDescent="0.3">
      <c r="A1055" s="2">
        <v>44835</v>
      </c>
      <c r="B1055">
        <v>2022</v>
      </c>
      <c r="C1055">
        <v>10</v>
      </c>
      <c r="D1055" t="s">
        <v>55</v>
      </c>
      <c r="E1055" t="s">
        <v>29</v>
      </c>
      <c r="F1055" t="s">
        <v>23</v>
      </c>
      <c r="G1055" t="s">
        <v>32</v>
      </c>
      <c r="H1055" t="s">
        <v>12</v>
      </c>
      <c r="I1055">
        <v>427.5</v>
      </c>
      <c r="J1055" s="8">
        <f t="shared" si="221"/>
        <v>0.1037385107921099</v>
      </c>
      <c r="K1055" s="8">
        <f t="shared" si="222"/>
        <v>3.637162382037098</v>
      </c>
      <c r="L1055" s="6">
        <f t="shared" si="220"/>
        <v>0.10191651079210989</v>
      </c>
      <c r="M1055">
        <f t="shared" si="223"/>
        <v>-0.26838957117475271</v>
      </c>
      <c r="N1055" s="15">
        <v>1.8220000000000001E-3</v>
      </c>
      <c r="O1055" s="8">
        <f>(I1055 - MAX(I962:I1055)) / MAX(I962:I1055)</f>
        <v>-0.34462670550360258</v>
      </c>
      <c r="P1055" s="15">
        <v>9.0200000000000002E-2</v>
      </c>
      <c r="Q1055">
        <f t="shared" si="224"/>
        <v>1.3054290894246774</v>
      </c>
      <c r="R1055">
        <f t="shared" si="225"/>
        <v>-1.0948165248236837E-2</v>
      </c>
      <c r="S1055" s="15">
        <f t="shared" si="226"/>
        <v>0.10142302719720341</v>
      </c>
    </row>
    <row r="1056" spans="1:19" x14ac:dyDescent="0.3">
      <c r="A1056" s="2">
        <v>44866</v>
      </c>
      <c r="B1056">
        <v>2022</v>
      </c>
      <c r="C1056">
        <v>11</v>
      </c>
      <c r="D1056" t="s">
        <v>55</v>
      </c>
      <c r="E1056" t="s">
        <v>29</v>
      </c>
      <c r="F1056" t="s">
        <v>23</v>
      </c>
      <c r="G1056" t="s">
        <v>32</v>
      </c>
      <c r="H1056" t="s">
        <v>12</v>
      </c>
      <c r="I1056">
        <v>407.59</v>
      </c>
      <c r="J1056" s="8">
        <f t="shared" si="221"/>
        <v>-4.6573099415204738E-2</v>
      </c>
      <c r="K1056" s="8">
        <f t="shared" si="222"/>
        <v>3.421195357414037</v>
      </c>
      <c r="L1056" s="6">
        <f t="shared" si="220"/>
        <v>-4.829509941520474E-2</v>
      </c>
      <c r="M1056">
        <f t="shared" si="223"/>
        <v>-0.35059851413715154</v>
      </c>
      <c r="N1056" s="15">
        <v>1.722E-3</v>
      </c>
      <c r="O1056" s="8">
        <f>(I1056 - MAX(I962:I1056)) / MAX(I962:I1056)</f>
        <v>-0.37514947110225355</v>
      </c>
      <c r="P1056" s="15">
        <v>9.6000000000000002E-2</v>
      </c>
      <c r="Q1056">
        <f t="shared" si="224"/>
        <v>1.0707738257406991</v>
      </c>
      <c r="R1056">
        <f t="shared" si="225"/>
        <v>-3.3746373657685395E-2</v>
      </c>
      <c r="S1056" s="15">
        <f t="shared" si="226"/>
        <v>9.9172344172808666E-2</v>
      </c>
    </row>
    <row r="1057" spans="1:19" x14ac:dyDescent="0.3">
      <c r="A1057" s="2">
        <v>44896</v>
      </c>
      <c r="B1057">
        <v>2022</v>
      </c>
      <c r="C1057">
        <v>12</v>
      </c>
      <c r="D1057" t="s">
        <v>55</v>
      </c>
      <c r="E1057" t="s">
        <v>29</v>
      </c>
      <c r="F1057" t="s">
        <v>23</v>
      </c>
      <c r="G1057" t="s">
        <v>32</v>
      </c>
      <c r="H1057" t="s">
        <v>12</v>
      </c>
      <c r="I1057">
        <v>389.22</v>
      </c>
      <c r="J1057" s="8">
        <f t="shared" si="221"/>
        <v>-4.5069800534851073E-2</v>
      </c>
      <c r="K1057" s="8">
        <f t="shared" si="222"/>
        <v>3.2219329645297767</v>
      </c>
      <c r="L1057" s="6">
        <f t="shared" si="220"/>
        <v>-4.6807800534851077E-2</v>
      </c>
      <c r="M1057">
        <f t="shared" si="223"/>
        <v>-0.3791354565453553</v>
      </c>
      <c r="N1057" s="15">
        <v>1.738E-3</v>
      </c>
      <c r="O1057" s="8">
        <f>(I1057 - MAX(I962:I1057)) / MAX(I962:I1057)</f>
        <v>-0.4033113598037712</v>
      </c>
      <c r="P1057" s="15">
        <v>-4.3200000000000002E-2</v>
      </c>
      <c r="Q1057">
        <f t="shared" si="224"/>
        <v>1.1136101666856677</v>
      </c>
      <c r="R1057">
        <f t="shared" si="225"/>
        <v>-2.6723283742170603E-2</v>
      </c>
      <c r="S1057" s="15">
        <f t="shared" si="226"/>
        <v>9.9006818322414786E-2</v>
      </c>
    </row>
    <row r="1058" spans="1:19" x14ac:dyDescent="0.3">
      <c r="A1058" s="2">
        <v>44927</v>
      </c>
      <c r="B1058">
        <v>2023</v>
      </c>
      <c r="C1058">
        <v>1</v>
      </c>
      <c r="D1058" t="s">
        <v>55</v>
      </c>
      <c r="E1058" t="s">
        <v>29</v>
      </c>
      <c r="F1058" t="s">
        <v>23</v>
      </c>
      <c r="G1058" t="s">
        <v>32</v>
      </c>
      <c r="H1058" t="s">
        <v>12</v>
      </c>
      <c r="I1058">
        <v>422.67</v>
      </c>
      <c r="J1058" s="8">
        <f t="shared" si="221"/>
        <v>8.5941112995221183E-2</v>
      </c>
      <c r="K1058" s="8">
        <f t="shared" si="222"/>
        <v>3.5847705824926797</v>
      </c>
      <c r="L1058" s="6">
        <f t="shared" si="220"/>
        <v>8.4114112995221188E-2</v>
      </c>
      <c r="M1058">
        <f t="shared" si="223"/>
        <v>-0.19253277252014861</v>
      </c>
      <c r="N1058" s="15">
        <v>1.8270000000000001E-3</v>
      </c>
      <c r="O1058" s="8">
        <f>(I1058 - MAX(I962:I1058)) / MAX(I962:I1058)</f>
        <v>-0.35203127395370221</v>
      </c>
      <c r="P1058" s="15">
        <v>9.7500000000000003E-2</v>
      </c>
      <c r="Q1058">
        <f t="shared" si="224"/>
        <v>1.0739436081358784</v>
      </c>
      <c r="R1058">
        <f t="shared" si="225"/>
        <v>-1.9990578839308274E-2</v>
      </c>
      <c r="S1058" s="15">
        <f t="shared" si="226"/>
        <v>9.9389880341177891E-2</v>
      </c>
    </row>
    <row r="1059" spans="1:19" x14ac:dyDescent="0.3">
      <c r="A1059" s="2">
        <v>44958</v>
      </c>
      <c r="B1059">
        <v>2023</v>
      </c>
      <c r="C1059">
        <v>2</v>
      </c>
      <c r="D1059" t="s">
        <v>55</v>
      </c>
      <c r="E1059" t="s">
        <v>29</v>
      </c>
      <c r="F1059" t="s">
        <v>23</v>
      </c>
      <c r="G1059" t="s">
        <v>32</v>
      </c>
      <c r="H1059" t="s">
        <v>12</v>
      </c>
      <c r="I1059">
        <v>407.18</v>
      </c>
      <c r="J1059" s="8">
        <f t="shared" ref="J1059:J1090" si="227">(I1059-I1058)/I1058</f>
        <v>-3.6647975962334704E-2</v>
      </c>
      <c r="K1059" s="8">
        <f t="shared" ref="K1059:K1090" si="228">(K1058+1)*(J1059+1)-1</f>
        <v>3.416748020392669</v>
      </c>
      <c r="L1059" s="6">
        <f t="shared" si="220"/>
        <v>-3.8622975962334702E-2</v>
      </c>
      <c r="M1059">
        <f t="shared" si="223"/>
        <v>-0.11178012107897077</v>
      </c>
      <c r="N1059" s="15">
        <v>1.9750000000000002E-3</v>
      </c>
      <c r="O1059" s="8">
        <f>(I1059 - MAX(I962:I1059)) / MAX(I962:I1059)</f>
        <v>-0.37577801625019158</v>
      </c>
      <c r="P1059" s="15">
        <v>1.7999999999999999E-2</v>
      </c>
      <c r="Q1059">
        <f t="shared" si="224"/>
        <v>0.9794626366073238</v>
      </c>
      <c r="R1059">
        <f t="shared" si="225"/>
        <v>-1.7202939409558804E-2</v>
      </c>
      <c r="S1059" s="15">
        <f t="shared" si="226"/>
        <v>9.1320907743128718E-2</v>
      </c>
    </row>
    <row r="1060" spans="1:19" x14ac:dyDescent="0.3">
      <c r="A1060" s="2">
        <v>44986</v>
      </c>
      <c r="B1060">
        <v>2023</v>
      </c>
      <c r="C1060">
        <v>3</v>
      </c>
      <c r="D1060" t="s">
        <v>55</v>
      </c>
      <c r="E1060" t="s">
        <v>29</v>
      </c>
      <c r="F1060" t="s">
        <v>23</v>
      </c>
      <c r="G1060" t="s">
        <v>32</v>
      </c>
      <c r="H1060" t="s">
        <v>12</v>
      </c>
      <c r="I1060">
        <v>445.83</v>
      </c>
      <c r="J1060" s="8">
        <f t="shared" si="227"/>
        <v>9.4921165086693793E-2</v>
      </c>
      <c r="K1060" s="8">
        <f t="shared" si="228"/>
        <v>3.8359908883826899</v>
      </c>
      <c r="L1060" s="6">
        <f t="shared" si="220"/>
        <v>9.2935165086693791E-2</v>
      </c>
      <c r="M1060">
        <f t="shared" si="223"/>
        <v>-3.7278823355225331E-2</v>
      </c>
      <c r="N1060" s="15">
        <v>1.9859999999999999E-3</v>
      </c>
      <c r="O1060" s="8">
        <f>(I1060 - MAX(I962:I1060)) / MAX(I962:I1060)</f>
        <v>-0.31652613827993253</v>
      </c>
      <c r="P1060" s="15">
        <v>1.8100000000000002E-2</v>
      </c>
      <c r="Q1060">
        <f t="shared" si="224"/>
        <v>1.0067627064517399</v>
      </c>
      <c r="R1060">
        <f t="shared" si="225"/>
        <v>-1.2603387660713849E-2</v>
      </c>
      <c r="S1060" s="15">
        <f t="shared" si="226"/>
        <v>9.6040501869495989E-2</v>
      </c>
    </row>
    <row r="1061" spans="1:19" x14ac:dyDescent="0.3">
      <c r="A1061" s="2">
        <v>45017</v>
      </c>
      <c r="B1061">
        <v>2023</v>
      </c>
      <c r="C1061">
        <v>4</v>
      </c>
      <c r="D1061" t="s">
        <v>55</v>
      </c>
      <c r="E1061" t="s">
        <v>29</v>
      </c>
      <c r="F1061" t="s">
        <v>23</v>
      </c>
      <c r="G1061" t="s">
        <v>32</v>
      </c>
      <c r="H1061" t="s">
        <v>12</v>
      </c>
      <c r="I1061">
        <v>443.95</v>
      </c>
      <c r="J1061" s="8">
        <f t="shared" si="227"/>
        <v>-4.2168539577865901E-3</v>
      </c>
      <c r="K1061" s="8">
        <f t="shared" si="228"/>
        <v>3.8155982210651933</v>
      </c>
      <c r="L1061" s="6">
        <f t="shared" si="220"/>
        <v>-6.1828539577865899E-3</v>
      </c>
      <c r="M1061">
        <f t="shared" si="223"/>
        <v>7.684431971921668E-2</v>
      </c>
      <c r="N1061" s="15">
        <v>1.9659999999999999E-3</v>
      </c>
      <c r="O1061" s="8">
        <f>(I1061 - MAX(I962:I1061)) / MAX(I962:I1061)</f>
        <v>-0.31940824773877047</v>
      </c>
      <c r="P1061" s="15">
        <v>1.03E-2</v>
      </c>
      <c r="Q1061">
        <f t="shared" si="224"/>
        <v>0.93075260930728521</v>
      </c>
      <c r="R1061">
        <f t="shared" si="225"/>
        <v>-4.2973699595557982E-3</v>
      </c>
      <c r="S1061" s="15">
        <f t="shared" si="226"/>
        <v>8.741051151334471E-2</v>
      </c>
    </row>
    <row r="1062" spans="1:19" x14ac:dyDescent="0.3">
      <c r="A1062" s="2">
        <v>45047</v>
      </c>
      <c r="B1062">
        <v>2023</v>
      </c>
      <c r="C1062">
        <v>5</v>
      </c>
      <c r="D1062" t="s">
        <v>55</v>
      </c>
      <c r="E1062" t="s">
        <v>29</v>
      </c>
      <c r="F1062" t="s">
        <v>23</v>
      </c>
      <c r="G1062" t="s">
        <v>32</v>
      </c>
      <c r="H1062" t="s">
        <v>12</v>
      </c>
      <c r="I1062">
        <v>419.12</v>
      </c>
      <c r="J1062" s="8">
        <f t="shared" si="227"/>
        <v>-5.592972181551973E-2</v>
      </c>
      <c r="K1062" s="8">
        <f t="shared" si="228"/>
        <v>3.5462631521857055</v>
      </c>
      <c r="L1062" s="6">
        <f t="shared" si="220"/>
        <v>-5.7881721815519732E-2</v>
      </c>
      <c r="M1062">
        <f t="shared" si="223"/>
        <v>3.1517966210062823E-2</v>
      </c>
      <c r="N1062" s="15">
        <v>1.952E-3</v>
      </c>
      <c r="O1062" s="8">
        <f>(I1062 - MAX(I962:I1062)) / MAX(I962:I1062)</f>
        <v>-0.35747355511267814</v>
      </c>
      <c r="P1062" s="15">
        <v>-3.2400000000000012E-2</v>
      </c>
      <c r="Q1062">
        <f t="shared" si="224"/>
        <v>0.94938918415172902</v>
      </c>
      <c r="R1062">
        <f t="shared" si="225"/>
        <v>-6.0513407899440699E-3</v>
      </c>
      <c r="S1062" s="15">
        <f t="shared" si="226"/>
        <v>8.9264087244428802E-2</v>
      </c>
    </row>
    <row r="1063" spans="1:19" x14ac:dyDescent="0.3">
      <c r="A1063" s="2">
        <v>45078</v>
      </c>
      <c r="B1063">
        <v>2023</v>
      </c>
      <c r="C1063">
        <v>6</v>
      </c>
      <c r="D1063" t="s">
        <v>55</v>
      </c>
      <c r="E1063" t="s">
        <v>29</v>
      </c>
      <c r="F1063" t="s">
        <v>23</v>
      </c>
      <c r="G1063" t="s">
        <v>32</v>
      </c>
      <c r="H1063" t="s">
        <v>12</v>
      </c>
      <c r="I1063">
        <v>458.19</v>
      </c>
      <c r="J1063" s="8">
        <f t="shared" si="227"/>
        <v>9.3219125787363979E-2</v>
      </c>
      <c r="K1063" s="8">
        <f t="shared" si="228"/>
        <v>3.9700618288317626</v>
      </c>
      <c r="L1063" s="6">
        <f t="shared" si="220"/>
        <v>9.1239125787363984E-2</v>
      </c>
      <c r="M1063">
        <f t="shared" si="223"/>
        <v>0.1830617432306427</v>
      </c>
      <c r="N1063" s="15">
        <v>1.98E-3</v>
      </c>
      <c r="O1063" s="8">
        <f>(I1063 - MAX(I962:I1063)) / MAX(I962:I1063)</f>
        <v>-0.29757780162501912</v>
      </c>
      <c r="P1063" s="15">
        <v>4.2900000000000001E-2</v>
      </c>
      <c r="Q1063">
        <f t="shared" si="224"/>
        <v>1.0390955757627167</v>
      </c>
      <c r="R1063">
        <f t="shared" si="225"/>
        <v>-4.6353881338271896E-3</v>
      </c>
      <c r="S1063" s="15">
        <f t="shared" si="226"/>
        <v>8.932460519418399E-2</v>
      </c>
    </row>
    <row r="1064" spans="1:19" x14ac:dyDescent="0.3">
      <c r="A1064" s="2">
        <v>45108</v>
      </c>
      <c r="B1064">
        <v>2023</v>
      </c>
      <c r="C1064">
        <v>7</v>
      </c>
      <c r="D1064" t="s">
        <v>55</v>
      </c>
      <c r="E1064" t="s">
        <v>29</v>
      </c>
      <c r="F1064" t="s">
        <v>23</v>
      </c>
      <c r="G1064" t="s">
        <v>32</v>
      </c>
      <c r="H1064" t="s">
        <v>12</v>
      </c>
      <c r="I1064">
        <v>511.7</v>
      </c>
      <c r="J1064" s="8">
        <f t="shared" si="227"/>
        <v>0.11678561295532419</v>
      </c>
      <c r="K1064" s="8">
        <f t="shared" si="228"/>
        <v>4.5504935459377398</v>
      </c>
      <c r="L1064" s="6">
        <f t="shared" si="220"/>
        <v>0.1147386129553242</v>
      </c>
      <c r="M1064">
        <f t="shared" si="223"/>
        <v>0.13431097956006574</v>
      </c>
      <c r="N1064" s="15">
        <v>2.0470000000000002E-3</v>
      </c>
      <c r="O1064" s="8">
        <f>(I1064 - MAX(I962:I1064)) / MAX(I962:I1064)</f>
        <v>-0.21554499463437066</v>
      </c>
      <c r="P1064" s="15">
        <v>1.6400000000000001E-2</v>
      </c>
      <c r="Q1064">
        <f t="shared" si="224"/>
        <v>0.8569609920371497</v>
      </c>
      <c r="R1064">
        <f t="shared" si="225"/>
        <v>-2.4668322292598615E-3</v>
      </c>
      <c r="S1064" s="15">
        <f t="shared" si="226"/>
        <v>7.9640462286697231E-2</v>
      </c>
    </row>
    <row r="1065" spans="1:19" x14ac:dyDescent="0.3">
      <c r="A1065" s="2">
        <v>45139</v>
      </c>
      <c r="B1065">
        <v>2023</v>
      </c>
      <c r="C1065">
        <v>8</v>
      </c>
      <c r="D1065" t="s">
        <v>55</v>
      </c>
      <c r="E1065" t="s">
        <v>29</v>
      </c>
      <c r="F1065" t="s">
        <v>23</v>
      </c>
      <c r="G1065" t="s">
        <v>32</v>
      </c>
      <c r="H1065" t="s">
        <v>12</v>
      </c>
      <c r="I1065">
        <v>541.80999999999995</v>
      </c>
      <c r="J1065" s="8">
        <f t="shared" si="227"/>
        <v>5.8843072112565876E-2</v>
      </c>
      <c r="K1065" s="8">
        <f t="shared" si="228"/>
        <v>4.8771016379216858</v>
      </c>
      <c r="L1065" s="6">
        <f t="shared" si="220"/>
        <v>5.6722072112565879E-2</v>
      </c>
      <c r="M1065">
        <f t="shared" si="223"/>
        <v>0.25655826397308057</v>
      </c>
      <c r="N1065" s="15">
        <v>2.1210000000000001E-3</v>
      </c>
      <c r="O1065" s="8">
        <f>(I1065 - MAX(I962:I1065)) / MAX(I962:I1065)</f>
        <v>-0.16938525218457767</v>
      </c>
      <c r="P1065" s="15">
        <v>-3.9E-2</v>
      </c>
      <c r="Q1065">
        <f t="shared" si="224"/>
        <v>0.68034348570574721</v>
      </c>
      <c r="R1065">
        <f t="shared" si="225"/>
        <v>8.8630523828716716E-3</v>
      </c>
      <c r="S1065" s="15">
        <f t="shared" si="226"/>
        <v>7.7763376792545982E-2</v>
      </c>
    </row>
    <row r="1066" spans="1:19" x14ac:dyDescent="0.3">
      <c r="A1066" s="2">
        <v>45170</v>
      </c>
      <c r="B1066">
        <v>2023</v>
      </c>
      <c r="C1066">
        <v>9</v>
      </c>
      <c r="D1066" t="s">
        <v>55</v>
      </c>
      <c r="E1066" t="s">
        <v>29</v>
      </c>
      <c r="F1066" t="s">
        <v>23</v>
      </c>
      <c r="G1066" t="s">
        <v>32</v>
      </c>
      <c r="H1066" t="s">
        <v>12</v>
      </c>
      <c r="I1066">
        <v>510.94</v>
      </c>
      <c r="J1066" s="8">
        <f t="shared" si="227"/>
        <v>-5.697569258596178E-2</v>
      </c>
      <c r="K1066" s="8">
        <f t="shared" si="228"/>
        <v>4.5422497017030077</v>
      </c>
      <c r="L1066" s="6">
        <f t="shared" si="220"/>
        <v>-5.9193692585961778E-2</v>
      </c>
      <c r="M1066">
        <f t="shared" si="223"/>
        <v>0.32962777655229542</v>
      </c>
      <c r="N1066" s="15">
        <v>2.2179999999999999E-3</v>
      </c>
      <c r="O1066" s="8">
        <f>(I1066 - MAX(I962:I1066)) / MAX(I962:I1066)</f>
        <v>-0.21671010271347535</v>
      </c>
      <c r="P1066" s="15">
        <v>-2.8500000000000001E-2</v>
      </c>
      <c r="Q1066">
        <f t="shared" si="224"/>
        <v>0.56687328166558959</v>
      </c>
      <c r="R1066">
        <f t="shared" si="225"/>
        <v>1.3191610400283646E-2</v>
      </c>
      <c r="S1066" s="15">
        <f t="shared" si="226"/>
        <v>7.1970435469975114E-2</v>
      </c>
    </row>
    <row r="1067" spans="1:19" x14ac:dyDescent="0.3">
      <c r="A1067" s="2">
        <v>45200</v>
      </c>
      <c r="B1067">
        <v>2023</v>
      </c>
      <c r="C1067">
        <v>10</v>
      </c>
      <c r="D1067" t="s">
        <v>55</v>
      </c>
      <c r="E1067" t="s">
        <v>29</v>
      </c>
      <c r="F1067" t="s">
        <v>23</v>
      </c>
      <c r="G1067" t="s">
        <v>32</v>
      </c>
      <c r="H1067" t="s">
        <v>12</v>
      </c>
      <c r="I1067">
        <v>494.95</v>
      </c>
      <c r="J1067" s="8">
        <f t="shared" si="227"/>
        <v>-3.1295259717383665E-2</v>
      </c>
      <c r="K1067" s="8">
        <f t="shared" si="228"/>
        <v>4.3688035578696196</v>
      </c>
      <c r="L1067" s="6">
        <f t="shared" si="220"/>
        <v>-3.3648259717383666E-2</v>
      </c>
      <c r="M1067">
        <f t="shared" si="223"/>
        <v>0.1796866405961004</v>
      </c>
      <c r="N1067" s="15">
        <v>2.3530000000000001E-3</v>
      </c>
      <c r="O1067" s="8">
        <f>(I1067 - MAX(I962:I1067)) / MAX(I962:I1067)</f>
        <v>-0.24122336348305989</v>
      </c>
      <c r="P1067" s="15">
        <v>-2.7199999999999998E-2</v>
      </c>
      <c r="Q1067">
        <f t="shared" si="224"/>
        <v>0.4931917993587554</v>
      </c>
      <c r="R1067">
        <f t="shared" si="225"/>
        <v>8.1103456782055904E-3</v>
      </c>
      <c r="S1067" s="15">
        <f t="shared" si="226"/>
        <v>6.9155894790620162E-2</v>
      </c>
    </row>
    <row r="1068" spans="1:19" x14ac:dyDescent="0.3">
      <c r="A1068" s="2">
        <v>45231</v>
      </c>
      <c r="B1068">
        <v>2023</v>
      </c>
      <c r="C1068">
        <v>11</v>
      </c>
      <c r="D1068" t="s">
        <v>55</v>
      </c>
      <c r="E1068" t="s">
        <v>29</v>
      </c>
      <c r="F1068" t="s">
        <v>23</v>
      </c>
      <c r="G1068" t="s">
        <v>32</v>
      </c>
      <c r="H1068" t="s">
        <v>12</v>
      </c>
      <c r="I1068">
        <v>571.46</v>
      </c>
      <c r="J1068" s="8">
        <f t="shared" si="227"/>
        <v>0.15458127083543802</v>
      </c>
      <c r="K1068" s="8">
        <f t="shared" si="228"/>
        <v>5.1987200347109264</v>
      </c>
      <c r="L1068" s="6">
        <f t="shared" si="220"/>
        <v>0.15241327083543801</v>
      </c>
      <c r="M1068">
        <f t="shared" si="223"/>
        <v>0.37876322340993601</v>
      </c>
      <c r="N1068" s="15">
        <v>2.1679999999999998E-3</v>
      </c>
      <c r="O1068" s="8">
        <f>(I1068 - MAX(I962:I1068)) / MAX(I962:I1068)</f>
        <v>-0.12393070673003208</v>
      </c>
      <c r="P1068" s="15">
        <v>7.9100000000000004E-2</v>
      </c>
      <c r="Q1068">
        <f t="shared" si="224"/>
        <v>1.1870410504733742</v>
      </c>
      <c r="R1068">
        <f t="shared" si="225"/>
        <v>2.0479862778734939E-2</v>
      </c>
      <c r="S1068" s="15">
        <f t="shared" si="226"/>
        <v>7.6966521909861987E-2</v>
      </c>
    </row>
    <row r="1069" spans="1:19" x14ac:dyDescent="0.3">
      <c r="A1069" s="2">
        <v>45261</v>
      </c>
      <c r="B1069">
        <v>2023</v>
      </c>
      <c r="C1069">
        <v>12</v>
      </c>
      <c r="D1069" t="s">
        <v>55</v>
      </c>
      <c r="E1069" t="s">
        <v>29</v>
      </c>
      <c r="F1069" t="s">
        <v>23</v>
      </c>
      <c r="G1069" t="s">
        <v>32</v>
      </c>
      <c r="H1069" t="s">
        <v>12</v>
      </c>
      <c r="I1069">
        <v>625.03</v>
      </c>
      <c r="J1069" s="8">
        <f t="shared" si="227"/>
        <v>9.3742344171070469E-2</v>
      </c>
      <c r="K1069" s="8">
        <f t="shared" si="228"/>
        <v>5.7798025816249083</v>
      </c>
      <c r="L1069" s="6">
        <f t="shared" si="220"/>
        <v>9.1990344171070465E-2</v>
      </c>
      <c r="M1069">
        <f t="shared" ref="M1069:M1100" si="229">(AVERAGE(J1058:J1069)-AVERAGE(N1058:N1069))/STDEV(J1058:J1069)</f>
        <v>0.54387505406468228</v>
      </c>
      <c r="N1069" s="15">
        <v>1.7520000000000001E-3</v>
      </c>
      <c r="O1069" s="8">
        <f>(I1069 - MAX(I962:I1069)) / MAX(I962:I1069)</f>
        <v>-4.1805917522612271E-2</v>
      </c>
      <c r="P1069" s="15">
        <v>3.1800000000000002E-2</v>
      </c>
      <c r="Q1069">
        <f t="shared" ref="Q1069:Q1100" si="230" xml:space="preserve"> _xlfn.COVARIANCE.P(J1058:J1069, P1058:P1069) / _xlfn.VAR.P(P1058:P1069)</f>
        <v>1.1757971412536781</v>
      </c>
      <c r="R1069">
        <f t="shared" ref="R1069:R1100" si="231">AVERAGE(J1058:J1069)-(AVERAGE(N1058:N1069)+Q1069*(AVERAGE(P1058:P1069)-AVERAGE(N1058:N1069)))</f>
        <v>2.4781159657839513E-2</v>
      </c>
      <c r="S1069" s="15">
        <f t="shared" ref="S1069:S1100" si="232">STDEV(J1058:J1069)</f>
        <v>7.4867563216486452E-2</v>
      </c>
    </row>
    <row r="1070" spans="1:19" x14ac:dyDescent="0.3">
      <c r="A1070" s="2">
        <v>45292</v>
      </c>
      <c r="B1070">
        <v>2024</v>
      </c>
      <c r="C1070">
        <v>1</v>
      </c>
      <c r="D1070" t="s">
        <v>55</v>
      </c>
      <c r="E1070" t="s">
        <v>29</v>
      </c>
      <c r="F1070" t="s">
        <v>23</v>
      </c>
      <c r="G1070" t="s">
        <v>32</v>
      </c>
      <c r="H1070" t="s">
        <v>12</v>
      </c>
      <c r="I1070">
        <v>631.33000000000004</v>
      </c>
      <c r="J1070" s="8">
        <f t="shared" si="227"/>
        <v>1.0079516183223315E-2</v>
      </c>
      <c r="K1070" s="8">
        <f t="shared" si="228"/>
        <v>5.8481397114654552</v>
      </c>
      <c r="L1070" s="6">
        <f t="shared" si="220"/>
        <v>8.2675161832233158E-3</v>
      </c>
      <c r="M1070">
        <f t="shared" si="229"/>
        <v>0.46428936296773404</v>
      </c>
      <c r="N1070" s="15">
        <v>1.812E-3</v>
      </c>
      <c r="O1070" s="8">
        <f>(I1070 - MAX(I962:I1070)) / MAX(I962:I1070)</f>
        <v>-3.2147784761612626E-2</v>
      </c>
      <c r="P1070" s="15">
        <v>2.8000000000000001E-2</v>
      </c>
      <c r="Q1070">
        <f t="shared" si="230"/>
        <v>1.4492549391500491</v>
      </c>
      <c r="R1070">
        <f t="shared" si="231"/>
        <v>2.3145793367673594E-2</v>
      </c>
      <c r="S1070" s="15">
        <f t="shared" si="232"/>
        <v>7.4087526015785415E-2</v>
      </c>
    </row>
    <row r="1071" spans="1:19" x14ac:dyDescent="0.3">
      <c r="A1071" s="2">
        <v>45323</v>
      </c>
      <c r="B1071">
        <v>2024</v>
      </c>
      <c r="C1071">
        <v>2</v>
      </c>
      <c r="D1071" t="s">
        <v>55</v>
      </c>
      <c r="E1071" t="s">
        <v>29</v>
      </c>
      <c r="F1071" t="s">
        <v>23</v>
      </c>
      <c r="G1071" t="s">
        <v>32</v>
      </c>
      <c r="H1071" t="s">
        <v>12</v>
      </c>
      <c r="I1071">
        <v>662.89</v>
      </c>
      <c r="J1071" s="8">
        <f t="shared" si="227"/>
        <v>4.998970427510168E-2</v>
      </c>
      <c r="K1071" s="8">
        <f t="shared" si="228"/>
        <v>6.1904761904761934</v>
      </c>
      <c r="L1071" s="6">
        <f t="shared" si="220"/>
        <v>4.804670427510168E-2</v>
      </c>
      <c r="M1071">
        <f t="shared" si="229"/>
        <v>0.59076973451641623</v>
      </c>
      <c r="N1071" s="15">
        <v>1.9430000000000001E-3</v>
      </c>
      <c r="O1071" s="8">
        <f>(I1071 - MAX(I962:I1071)) / MAX(I962:I1071)</f>
        <v>0</v>
      </c>
      <c r="P1071" s="15">
        <v>4.9299999999999997E-2</v>
      </c>
      <c r="Q1071">
        <f t="shared" si="230"/>
        <v>1.3749926713264589</v>
      </c>
      <c r="R1071">
        <f t="shared" si="231"/>
        <v>2.7354745480386897E-2</v>
      </c>
      <c r="S1071" s="15">
        <f t="shared" si="232"/>
        <v>7.0451347080116175E-2</v>
      </c>
    </row>
    <row r="1072" spans="1:19" x14ac:dyDescent="0.3">
      <c r="A1072" s="2">
        <v>45352</v>
      </c>
      <c r="B1072">
        <v>2024</v>
      </c>
      <c r="C1072">
        <v>3</v>
      </c>
      <c r="D1072" t="s">
        <v>55</v>
      </c>
      <c r="E1072" t="s">
        <v>29</v>
      </c>
      <c r="F1072" t="s">
        <v>23</v>
      </c>
      <c r="G1072" t="s">
        <v>32</v>
      </c>
      <c r="H1072" t="s">
        <v>12</v>
      </c>
      <c r="I1072">
        <v>650</v>
      </c>
      <c r="J1072" s="8">
        <f t="shared" si="227"/>
        <v>-1.9445156813347596E-2</v>
      </c>
      <c r="K1072" s="8">
        <f t="shared" si="228"/>
        <v>6.0506562533897421</v>
      </c>
      <c r="L1072" s="6">
        <f t="shared" si="220"/>
        <v>-2.1403156813347597E-2</v>
      </c>
      <c r="M1072">
        <f t="shared" si="229"/>
        <v>0.45443883452276762</v>
      </c>
      <c r="N1072" s="15">
        <v>1.9580000000000001E-3</v>
      </c>
      <c r="O1072" s="8">
        <f>(I1072 - MAX(I962:I1072)) / MAX(I962:I1072)</f>
        <v>-1.9445156813347596E-2</v>
      </c>
      <c r="P1072" s="15">
        <v>4.2199999999999988E-2</v>
      </c>
      <c r="Q1072">
        <f t="shared" si="230"/>
        <v>1.1855193488742948</v>
      </c>
      <c r="R1072">
        <f t="shared" si="231"/>
        <v>1.7408685050575148E-2</v>
      </c>
      <c r="S1072" s="15">
        <f t="shared" si="232"/>
        <v>7.0619691102931412E-2</v>
      </c>
    </row>
    <row r="1073" spans="1:19" x14ac:dyDescent="0.3">
      <c r="A1073" s="2">
        <v>45383</v>
      </c>
      <c r="B1073">
        <v>2024</v>
      </c>
      <c r="C1073">
        <v>4</v>
      </c>
      <c r="D1073" t="s">
        <v>55</v>
      </c>
      <c r="E1073" t="s">
        <v>29</v>
      </c>
      <c r="F1073" t="s">
        <v>23</v>
      </c>
      <c r="G1073" t="s">
        <v>32</v>
      </c>
      <c r="H1073" t="s">
        <v>12</v>
      </c>
      <c r="I1073">
        <v>625.62</v>
      </c>
      <c r="J1073" s="8">
        <f t="shared" si="227"/>
        <v>-3.7507692307692297E-2</v>
      </c>
      <c r="K1073" s="8">
        <f t="shared" si="228"/>
        <v>5.7862024080702934</v>
      </c>
      <c r="L1073" s="6">
        <f t="shared" si="220"/>
        <v>-3.9545692307692296E-2</v>
      </c>
      <c r="M1073">
        <f t="shared" si="229"/>
        <v>0.40219591270320965</v>
      </c>
      <c r="N1073" s="15">
        <v>2.0379999999999999E-3</v>
      </c>
      <c r="O1073" s="8">
        <f>(I1073 - MAX(I962:I1073)) / MAX(I962:I1073)</f>
        <v>-5.6223506162410029E-2</v>
      </c>
      <c r="P1073" s="15">
        <v>-3.1899999999999998E-2</v>
      </c>
      <c r="Q1073">
        <f t="shared" si="230"/>
        <v>1.2239839185938954</v>
      </c>
      <c r="R1073">
        <f t="shared" si="231"/>
        <v>1.8463720122197751E-2</v>
      </c>
      <c r="S1073" s="15">
        <f t="shared" si="232"/>
        <v>7.2880137923344177E-2</v>
      </c>
    </row>
    <row r="1074" spans="1:19" x14ac:dyDescent="0.3">
      <c r="A1074" s="2">
        <v>45413</v>
      </c>
      <c r="B1074">
        <v>2024</v>
      </c>
      <c r="C1074">
        <v>5</v>
      </c>
      <c r="D1074" t="s">
        <v>55</v>
      </c>
      <c r="E1074" t="s">
        <v>29</v>
      </c>
      <c r="F1074" t="s">
        <v>23</v>
      </c>
      <c r="G1074" t="s">
        <v>32</v>
      </c>
      <c r="H1074" t="s">
        <v>12</v>
      </c>
      <c r="I1074">
        <v>576.44000000000005</v>
      </c>
      <c r="J1074" s="8">
        <f t="shared" si="227"/>
        <v>-7.8610018861289516E-2</v>
      </c>
      <c r="K1074" s="8">
        <f t="shared" si="228"/>
        <v>5.2527389087753598</v>
      </c>
      <c r="L1074" s="6">
        <f t="shared" si="220"/>
        <v>-8.071001886128952E-2</v>
      </c>
      <c r="M1074">
        <f t="shared" si="229"/>
        <v>0.36259764237730235</v>
      </c>
      <c r="N1074" s="15">
        <v>2.0999999999999999E-3</v>
      </c>
      <c r="O1074" s="8">
        <f>(I1074 - MAX(I962:I1074)) / MAX(I962:I1074)</f>
        <v>-0.13041379414382467</v>
      </c>
      <c r="P1074" s="15">
        <v>1.2699999999999999E-2</v>
      </c>
      <c r="Q1074">
        <f t="shared" si="230"/>
        <v>1.1371108783847148</v>
      </c>
      <c r="R1074">
        <f t="shared" si="231"/>
        <v>1.3071714918835135E-2</v>
      </c>
      <c r="S1074" s="15">
        <f t="shared" si="232"/>
        <v>7.5592701935845538E-2</v>
      </c>
    </row>
    <row r="1075" spans="1:19" x14ac:dyDescent="0.3">
      <c r="A1075" s="2">
        <v>45444</v>
      </c>
      <c r="B1075">
        <v>2024</v>
      </c>
      <c r="C1075">
        <v>6</v>
      </c>
      <c r="D1075" t="s">
        <v>55</v>
      </c>
      <c r="E1075" t="s">
        <v>29</v>
      </c>
      <c r="F1075" t="s">
        <v>23</v>
      </c>
      <c r="G1075" t="s">
        <v>32</v>
      </c>
      <c r="H1075" t="s">
        <v>12</v>
      </c>
      <c r="I1075">
        <v>657.21</v>
      </c>
      <c r="J1075" s="8">
        <f t="shared" si="227"/>
        <v>0.14011865935743525</v>
      </c>
      <c r="K1075" s="8">
        <f t="shared" si="228"/>
        <v>6.1288643019850362</v>
      </c>
      <c r="L1075" s="6">
        <f t="shared" si="220"/>
        <v>0.13804865935743527</v>
      </c>
      <c r="M1075">
        <f t="shared" si="229"/>
        <v>0.39012427348151085</v>
      </c>
      <c r="N1075" s="15">
        <v>2.0699999999999998E-3</v>
      </c>
      <c r="O1075" s="8">
        <f>(I1075 - MAX(I962:I1075)) / MAX(I962:I1075)</f>
        <v>-8.5685407835386709E-3</v>
      </c>
      <c r="P1075" s="15">
        <v>-1.7999999999999999E-2</v>
      </c>
      <c r="Q1075">
        <f t="shared" si="230"/>
        <v>0.81664836614526637</v>
      </c>
      <c r="R1075">
        <f t="shared" si="231"/>
        <v>2.5163889931186959E-2</v>
      </c>
      <c r="S1075" s="15">
        <f t="shared" si="232"/>
        <v>8.0257836016256578E-2</v>
      </c>
    </row>
    <row r="1076" spans="1:19" x14ac:dyDescent="0.3">
      <c r="A1076" s="2">
        <v>45474</v>
      </c>
      <c r="B1076">
        <v>2024</v>
      </c>
      <c r="C1076">
        <v>7</v>
      </c>
      <c r="D1076" t="s">
        <v>55</v>
      </c>
      <c r="E1076" t="s">
        <v>29</v>
      </c>
      <c r="F1076" t="s">
        <v>23</v>
      </c>
      <c r="G1076" t="s">
        <v>32</v>
      </c>
      <c r="H1076" t="s">
        <v>12</v>
      </c>
      <c r="I1076">
        <v>647.35</v>
      </c>
      <c r="J1076" s="8">
        <f t="shared" si="227"/>
        <v>-1.5002814929778934E-2</v>
      </c>
      <c r="K1076" s="8">
        <f t="shared" si="228"/>
        <v>6.021911270202847</v>
      </c>
      <c r="L1076" s="6">
        <f t="shared" si="220"/>
        <v>-1.7051814929778933E-2</v>
      </c>
      <c r="M1076">
        <f t="shared" si="229"/>
        <v>0.26488067841161206</v>
      </c>
      <c r="N1076" s="15">
        <v>2.049E-3</v>
      </c>
      <c r="O1076" s="8">
        <f>(I1076 - MAX(I962:I1076)) / MAX(I962:I1076)</f>
        <v>-2.3442803481723912E-2</v>
      </c>
      <c r="P1076" s="15">
        <v>-4.3E-3</v>
      </c>
      <c r="Q1076">
        <f t="shared" si="230"/>
        <v>0.80326480694160218</v>
      </c>
      <c r="R1076">
        <f t="shared" si="231"/>
        <v>1.5667853532476697E-2</v>
      </c>
      <c r="S1076" s="15">
        <f t="shared" si="232"/>
        <v>7.6743968007963417E-2</v>
      </c>
    </row>
    <row r="1077" spans="1:19" x14ac:dyDescent="0.3">
      <c r="A1077" s="2">
        <v>45505</v>
      </c>
      <c r="B1077">
        <v>2024</v>
      </c>
      <c r="C1077">
        <v>8</v>
      </c>
      <c r="D1077" t="s">
        <v>55</v>
      </c>
      <c r="E1077" t="s">
        <v>29</v>
      </c>
      <c r="F1077" t="s">
        <v>23</v>
      </c>
      <c r="G1077" t="s">
        <v>32</v>
      </c>
      <c r="H1077" t="s">
        <v>12</v>
      </c>
      <c r="I1077">
        <v>630.26</v>
      </c>
      <c r="J1077" s="8">
        <f t="shared" si="227"/>
        <v>-2.6399938209623899E-2</v>
      </c>
      <c r="K1077" s="8">
        <f t="shared" si="228"/>
        <v>5.83653324655603</v>
      </c>
      <c r="L1077" s="6">
        <f t="shared" si="220"/>
        <v>-2.8239938209623901E-2</v>
      </c>
      <c r="M1077">
        <f t="shared" si="229"/>
        <v>0.17203545349771102</v>
      </c>
      <c r="N1077" s="15">
        <v>1.8400000000000001E-3</v>
      </c>
      <c r="O1077" s="8">
        <f>(I1077 - MAX(I962:I1077)) / MAX(I962:I1077)</f>
        <v>-4.9223853127969945E-2</v>
      </c>
      <c r="P1077" s="15">
        <v>1.7500000000000002E-2</v>
      </c>
      <c r="Q1077">
        <f t="shared" si="230"/>
        <v>1.0607891468297534</v>
      </c>
      <c r="R1077">
        <f t="shared" si="231"/>
        <v>2.0742695022547535E-3</v>
      </c>
      <c r="S1077" s="15">
        <f t="shared" si="232"/>
        <v>7.7006375800762014E-2</v>
      </c>
    </row>
    <row r="1078" spans="1:19" x14ac:dyDescent="0.3">
      <c r="A1078" s="2">
        <v>45536</v>
      </c>
      <c r="B1078">
        <v>2024</v>
      </c>
      <c r="C1078">
        <v>9</v>
      </c>
      <c r="D1078" t="s">
        <v>55</v>
      </c>
      <c r="E1078" t="s">
        <v>29</v>
      </c>
      <c r="F1078" t="s">
        <v>23</v>
      </c>
      <c r="G1078" t="s">
        <v>32</v>
      </c>
      <c r="H1078" t="s">
        <v>12</v>
      </c>
      <c r="I1078">
        <v>621</v>
      </c>
      <c r="J1078" s="8">
        <f t="shared" si="227"/>
        <v>-1.4692349189223481E-2</v>
      </c>
      <c r="K1078" s="8">
        <f t="shared" si="228"/>
        <v>5.7360885128538932</v>
      </c>
      <c r="L1078" s="6">
        <f t="shared" si="220"/>
        <v>-1.649834918922348E-2</v>
      </c>
      <c r="M1078">
        <f t="shared" si="229"/>
        <v>0.22612572781705337</v>
      </c>
      <c r="N1078" s="15">
        <v>1.8060000000000001E-3</v>
      </c>
      <c r="O1078" s="8">
        <f>(I1078 - MAX(I962:I1078)) / MAX(I962:I1078)</f>
        <v>-6.3192988278598233E-2</v>
      </c>
      <c r="P1078" s="15">
        <v>8.6E-3</v>
      </c>
      <c r="Q1078">
        <f t="shared" si="230"/>
        <v>0.97009663443795946</v>
      </c>
      <c r="R1078">
        <f t="shared" si="231"/>
        <v>3.554979612214083E-3</v>
      </c>
      <c r="S1078" s="15">
        <f t="shared" si="232"/>
        <v>7.4320477498948989E-2</v>
      </c>
    </row>
    <row r="1079" spans="1:19" x14ac:dyDescent="0.3">
      <c r="A1079" s="2">
        <v>45566</v>
      </c>
      <c r="B1079">
        <v>2024</v>
      </c>
      <c r="C1079">
        <v>10</v>
      </c>
      <c r="D1079" t="s">
        <v>55</v>
      </c>
      <c r="E1079" t="s">
        <v>29</v>
      </c>
      <c r="F1079" t="s">
        <v>23</v>
      </c>
      <c r="G1079" t="s">
        <v>32</v>
      </c>
      <c r="H1079" t="s">
        <v>12</v>
      </c>
      <c r="I1079">
        <v>610.29999999999995</v>
      </c>
      <c r="J1079" s="8">
        <f t="shared" si="227"/>
        <v>-1.7230273752012956E-2</v>
      </c>
      <c r="K1079" s="8">
        <f t="shared" si="228"/>
        <v>5.6200238637596307</v>
      </c>
      <c r="L1079" s="6">
        <f t="shared" si="220"/>
        <v>-1.9088273752012955E-2</v>
      </c>
      <c r="M1079">
        <f t="shared" si="229"/>
        <v>0.2449387483712967</v>
      </c>
      <c r="N1079" s="15">
        <v>1.8580000000000001E-3</v>
      </c>
      <c r="O1079" s="8">
        <f>(I1079 - MAX(I962:I1079)) / MAX(I962:I1079)</f>
        <v>-7.93344295433632E-2</v>
      </c>
      <c r="P1079" s="15">
        <v>-3.4599999999999999E-2</v>
      </c>
      <c r="Q1079">
        <f t="shared" si="230"/>
        <v>0.8917318497450889</v>
      </c>
      <c r="R1079">
        <f t="shared" si="231"/>
        <v>6.35183332985189E-3</v>
      </c>
      <c r="S1079" s="15">
        <f t="shared" si="232"/>
        <v>7.3565756131924676E-2</v>
      </c>
    </row>
    <row r="1080" spans="1:19" x14ac:dyDescent="0.3">
      <c r="A1080" s="2">
        <v>45597</v>
      </c>
      <c r="B1080">
        <v>2024</v>
      </c>
      <c r="C1080">
        <v>11</v>
      </c>
      <c r="D1080" t="s">
        <v>55</v>
      </c>
      <c r="E1080" t="s">
        <v>29</v>
      </c>
      <c r="F1080" t="s">
        <v>23</v>
      </c>
      <c r="G1080" t="s">
        <v>32</v>
      </c>
      <c r="H1080" t="s">
        <v>12</v>
      </c>
      <c r="I1080">
        <v>641.73</v>
      </c>
      <c r="J1080" s="8">
        <f t="shared" si="227"/>
        <v>5.1499262657709433E-2</v>
      </c>
      <c r="K1080" s="8">
        <f t="shared" si="228"/>
        <v>5.9609502115196928</v>
      </c>
      <c r="L1080" s="6">
        <f t="shared" si="220"/>
        <v>4.9578262657709433E-2</v>
      </c>
      <c r="M1080">
        <f t="shared" si="229"/>
        <v>0.15380886675176644</v>
      </c>
      <c r="N1080" s="15">
        <v>1.921E-3</v>
      </c>
      <c r="O1080" s="8">
        <f>(I1080 - MAX(I962:I1080)) / MAX(I962:I1080)</f>
        <v>-3.1920831510506974E-2</v>
      </c>
      <c r="P1080" s="15">
        <v>-4.7999999999999996E-3</v>
      </c>
      <c r="Q1080">
        <f t="shared" si="230"/>
        <v>0.15687357963353751</v>
      </c>
      <c r="R1080">
        <f t="shared" si="231"/>
        <v>8.4905912412260483E-3</v>
      </c>
      <c r="S1080" s="15">
        <f t="shared" si="232"/>
        <v>6.1436771589908554E-2</v>
      </c>
    </row>
    <row r="1081" spans="1:19" x14ac:dyDescent="0.3">
      <c r="A1081" s="2">
        <v>45627</v>
      </c>
      <c r="B1081">
        <v>2024</v>
      </c>
      <c r="C1081">
        <v>12</v>
      </c>
      <c r="D1081" t="s">
        <v>55</v>
      </c>
      <c r="E1081" t="s">
        <v>29</v>
      </c>
      <c r="F1081" t="s">
        <v>23</v>
      </c>
      <c r="G1081" t="s">
        <v>32</v>
      </c>
      <c r="H1081" t="s">
        <v>12</v>
      </c>
      <c r="I1081">
        <v>628.5</v>
      </c>
      <c r="J1081" s="8">
        <f t="shared" si="227"/>
        <v>-2.0616146977700929E-2</v>
      </c>
      <c r="K1081" s="8">
        <f t="shared" si="228"/>
        <v>5.8174422388545439</v>
      </c>
      <c r="L1081" s="6">
        <f t="shared" si="220"/>
        <v>-2.2432146977700927E-2</v>
      </c>
      <c r="M1081">
        <f t="shared" si="229"/>
        <v>-1.5263034929413565E-3</v>
      </c>
      <c r="N1081" s="15">
        <v>1.8159999999999999E-3</v>
      </c>
      <c r="O1081" s="8">
        <f>(I1081 - MAX(I962:I1081)) / MAX(I962:I1081)</f>
        <v>-5.1878893934136867E-2</v>
      </c>
      <c r="P1081" s="15">
        <v>1.35E-2</v>
      </c>
      <c r="Q1081">
        <f t="shared" si="230"/>
        <v>-0.12780854921280418</v>
      </c>
      <c r="R1081">
        <f t="shared" si="231"/>
        <v>4.9998464545524673E-4</v>
      </c>
      <c r="S1081" s="15">
        <f t="shared" si="232"/>
        <v>5.6140460266434156E-2</v>
      </c>
    </row>
    <row r="1082" spans="1:19" x14ac:dyDescent="0.3">
      <c r="A1082" s="2">
        <v>42005</v>
      </c>
      <c r="B1082">
        <v>2015</v>
      </c>
      <c r="C1082">
        <v>1</v>
      </c>
      <c r="D1082" t="s">
        <v>55</v>
      </c>
      <c r="E1082" t="s">
        <v>30</v>
      </c>
      <c r="F1082" t="s">
        <v>23</v>
      </c>
      <c r="G1082" t="s">
        <v>33</v>
      </c>
      <c r="H1082" t="s">
        <v>12</v>
      </c>
      <c r="I1082">
        <v>63.73</v>
      </c>
      <c r="J1082" s="8">
        <v>-2.7765064836003162E-2</v>
      </c>
      <c r="K1082" s="8">
        <v>-2.7765064836003162E-2</v>
      </c>
      <c r="L1082" s="6">
        <f t="shared" si="220"/>
        <v>-2.809006483600316E-2</v>
      </c>
      <c r="M1082" t="str">
        <f>IF(COUNT(J1082:J1082)&lt;12,"",(AVERAGE(J1082:J1082)-N1082)/STDEV(J1082:J1082))</f>
        <v/>
      </c>
      <c r="N1082" s="15">
        <v>3.2499999999999999E-4</v>
      </c>
      <c r="O1082" s="8">
        <f>(I1082 - MAX(I1082:I1082)) / MAX(I1082:I1082)</f>
        <v>0</v>
      </c>
      <c r="P1082" s="15">
        <v>6.5199999999999994E-2</v>
      </c>
    </row>
    <row r="1083" spans="1:19" x14ac:dyDescent="0.3">
      <c r="A1083" s="2">
        <v>42036</v>
      </c>
      <c r="B1083">
        <v>2015</v>
      </c>
      <c r="C1083">
        <v>2</v>
      </c>
      <c r="D1083" t="s">
        <v>55</v>
      </c>
      <c r="E1083" t="s">
        <v>30</v>
      </c>
      <c r="F1083" t="s">
        <v>23</v>
      </c>
      <c r="G1083" t="s">
        <v>33</v>
      </c>
      <c r="H1083" t="s">
        <v>12</v>
      </c>
      <c r="I1083">
        <v>67.83</v>
      </c>
      <c r="J1083" s="8">
        <f t="shared" ref="J1083:J1114" si="233">(I1083-I1082)/I1082</f>
        <v>6.4333908677232099E-2</v>
      </c>
      <c r="K1083" s="8">
        <f t="shared" ref="K1083:K1114" si="234">(K1082+1)*(J1083+1)-1</f>
        <v>3.4782608695651973E-2</v>
      </c>
      <c r="L1083" s="6">
        <f t="shared" si="220"/>
        <v>6.4081908677232097E-2</v>
      </c>
      <c r="M1083" t="str">
        <f>IF(COUNT(J1082:J1083)&lt;12,"",(AVERAGE(J1082:J1083)-N1083)/STDEV(J1082:J1083))</f>
        <v/>
      </c>
      <c r="N1083" s="15">
        <v>2.52E-4</v>
      </c>
      <c r="O1083" s="8">
        <f>(I1083 - MAX(I1082:I1083)) / MAX(I1082:I1083)</f>
        <v>0</v>
      </c>
      <c r="P1083" s="15">
        <v>7.3899999999999993E-2</v>
      </c>
    </row>
    <row r="1084" spans="1:19" x14ac:dyDescent="0.3">
      <c r="A1084" s="2">
        <v>42064</v>
      </c>
      <c r="B1084">
        <v>2015</v>
      </c>
      <c r="C1084">
        <v>3</v>
      </c>
      <c r="D1084" t="s">
        <v>55</v>
      </c>
      <c r="E1084" t="s">
        <v>30</v>
      </c>
      <c r="F1084" t="s">
        <v>23</v>
      </c>
      <c r="G1084" t="s">
        <v>33</v>
      </c>
      <c r="H1084" t="s">
        <v>12</v>
      </c>
      <c r="I1084">
        <v>65.41</v>
      </c>
      <c r="J1084" s="8">
        <f t="shared" si="233"/>
        <v>-3.5677428866283382E-2</v>
      </c>
      <c r="K1084" s="8">
        <f t="shared" si="234"/>
        <v>-2.1357742181542516E-3</v>
      </c>
      <c r="L1084" s="6">
        <f t="shared" si="220"/>
        <v>-3.5866428866283384E-2</v>
      </c>
      <c r="M1084" t="str">
        <f>IF(COUNT(J1082:J1084)&lt;12,"",(AVERAGE(J1082:J1084)-N1084)/STDEV(J1082:J1084))</f>
        <v/>
      </c>
      <c r="N1084" s="15">
        <v>1.8900000000000001E-4</v>
      </c>
      <c r="O1084" s="8">
        <f>(I1084 - MAX(I1082:I1084)) / MAX(I1082:I1084)</f>
        <v>-3.5677428866283382E-2</v>
      </c>
      <c r="P1084" s="15">
        <v>2.7300000000000001E-2</v>
      </c>
    </row>
    <row r="1085" spans="1:19" x14ac:dyDescent="0.3">
      <c r="A1085" s="2">
        <v>42095</v>
      </c>
      <c r="B1085">
        <v>2015</v>
      </c>
      <c r="C1085">
        <v>4</v>
      </c>
      <c r="D1085" t="s">
        <v>55</v>
      </c>
      <c r="E1085" t="s">
        <v>30</v>
      </c>
      <c r="F1085" t="s">
        <v>23</v>
      </c>
      <c r="G1085" t="s">
        <v>33</v>
      </c>
      <c r="H1085" t="s">
        <v>12</v>
      </c>
      <c r="I1085">
        <v>66.05</v>
      </c>
      <c r="J1085" s="8">
        <f t="shared" si="233"/>
        <v>9.7844366304846442E-3</v>
      </c>
      <c r="K1085" s="8">
        <f t="shared" si="234"/>
        <v>7.6277650648357564E-3</v>
      </c>
      <c r="L1085" s="6">
        <f t="shared" si="220"/>
        <v>9.6824366304846445E-3</v>
      </c>
      <c r="M1085" t="str">
        <f>IF(COUNT(J1082:J1085)&lt;12,"",(AVERAGE(J1082:J1085)-N1085)/STDEV(J1082:J1085))</f>
        <v/>
      </c>
      <c r="N1085" s="15">
        <v>1.02E-4</v>
      </c>
      <c r="O1085" s="8">
        <f>(I1085 - MAX(I1082:I1085)) / MAX(I1082:I1085)</f>
        <v>-2.6242075777679511E-2</v>
      </c>
      <c r="P1085" s="15">
        <v>-2.2100000000000002E-2</v>
      </c>
    </row>
    <row r="1086" spans="1:19" x14ac:dyDescent="0.3">
      <c r="A1086" s="2">
        <v>42125</v>
      </c>
      <c r="B1086">
        <v>2015</v>
      </c>
      <c r="C1086">
        <v>5</v>
      </c>
      <c r="D1086" t="s">
        <v>55</v>
      </c>
      <c r="E1086" t="s">
        <v>30</v>
      </c>
      <c r="F1086" t="s">
        <v>23</v>
      </c>
      <c r="G1086" t="s">
        <v>33</v>
      </c>
      <c r="H1086" t="s">
        <v>12</v>
      </c>
      <c r="I1086">
        <v>68.680000000000007</v>
      </c>
      <c r="J1086" s="8">
        <f t="shared" si="233"/>
        <v>3.9818319454958513E-2</v>
      </c>
      <c r="K1086" s="8">
        <f t="shared" si="234"/>
        <v>4.774980930587347E-2</v>
      </c>
      <c r="L1086" s="6">
        <f t="shared" si="220"/>
        <v>3.9355319454958515E-2</v>
      </c>
      <c r="M1086" t="str">
        <f>IF(COUNT(J1082:J1086)&lt;12,"",(AVERAGE(J1082:J1086)-N1086)/STDEV(J1082:J1086))</f>
        <v/>
      </c>
      <c r="N1086" s="15">
        <v>4.6299999999999998E-4</v>
      </c>
      <c r="O1086" s="8">
        <f>(I1086 - MAX(I1082:I1086)) / MAX(I1082:I1086)</f>
        <v>0</v>
      </c>
      <c r="P1086" s="15">
        <v>-1.24E-2</v>
      </c>
    </row>
    <row r="1087" spans="1:19" x14ac:dyDescent="0.3">
      <c r="A1087" s="2">
        <v>42156</v>
      </c>
      <c r="B1087">
        <v>2015</v>
      </c>
      <c r="C1087">
        <v>6</v>
      </c>
      <c r="D1087" t="s">
        <v>55</v>
      </c>
      <c r="E1087" t="s">
        <v>30</v>
      </c>
      <c r="F1087" t="s">
        <v>23</v>
      </c>
      <c r="G1087" t="s">
        <v>33</v>
      </c>
      <c r="H1087" t="s">
        <v>12</v>
      </c>
      <c r="I1087">
        <v>67.150000000000006</v>
      </c>
      <c r="J1087" s="8">
        <f t="shared" si="233"/>
        <v>-2.227722772277229E-2</v>
      </c>
      <c r="K1087" s="8">
        <f t="shared" si="234"/>
        <v>2.4408848207475353E-2</v>
      </c>
      <c r="L1087" s="6">
        <f t="shared" si="220"/>
        <v>-2.2938227722772288E-2</v>
      </c>
      <c r="M1087" t="str">
        <f>IF(COUNT(J1082:J1087)&lt;12,"",(AVERAGE(J1082:J1087)-N1087)/STDEV(J1082:J1087))</f>
        <v/>
      </c>
      <c r="N1087" s="15">
        <v>6.6100000000000002E-4</v>
      </c>
      <c r="O1087" s="8">
        <f>(I1087 - MAX(I1082:I1087)) / MAX(I1082:I1087)</f>
        <v>-2.227722772277229E-2</v>
      </c>
      <c r="P1087" s="15">
        <v>-4.0999999999999988E-2</v>
      </c>
    </row>
    <row r="1088" spans="1:19" x14ac:dyDescent="0.3">
      <c r="A1088" s="2">
        <v>42186</v>
      </c>
      <c r="B1088">
        <v>2015</v>
      </c>
      <c r="C1088">
        <v>7</v>
      </c>
      <c r="D1088" t="s">
        <v>55</v>
      </c>
      <c r="E1088" t="s">
        <v>30</v>
      </c>
      <c r="F1088" t="s">
        <v>23</v>
      </c>
      <c r="G1088" t="s">
        <v>33</v>
      </c>
      <c r="H1088" t="s">
        <v>12</v>
      </c>
      <c r="I1088">
        <v>75.34</v>
      </c>
      <c r="J1088" s="8">
        <f t="shared" si="233"/>
        <v>0.12196574832464627</v>
      </c>
      <c r="K1088" s="8">
        <f t="shared" si="234"/>
        <v>0.14935163996948919</v>
      </c>
      <c r="L1088" s="6">
        <f t="shared" si="220"/>
        <v>0.12137374832464627</v>
      </c>
      <c r="M1088" t="str">
        <f>IF(COUNT(J1082:J1088)&lt;12,"",(AVERAGE(J1082:J1088)-N1088)/STDEV(J1082:J1088))</f>
        <v/>
      </c>
      <c r="N1088" s="15">
        <v>5.9199999999999997E-4</v>
      </c>
      <c r="O1088" s="8">
        <f>(I1088 - MAX(I1082:I1088)) / MAX(I1082:I1088)</f>
        <v>0</v>
      </c>
      <c r="P1088" s="15">
        <v>5.1499999999999997E-2</v>
      </c>
    </row>
    <row r="1089" spans="1:19" x14ac:dyDescent="0.3">
      <c r="A1089" s="2">
        <v>42217</v>
      </c>
      <c r="B1089">
        <v>2015</v>
      </c>
      <c r="C1089">
        <v>8</v>
      </c>
      <c r="D1089" t="s">
        <v>55</v>
      </c>
      <c r="E1089" t="s">
        <v>30</v>
      </c>
      <c r="F1089" t="s">
        <v>23</v>
      </c>
      <c r="G1089" t="s">
        <v>33</v>
      </c>
      <c r="H1089" t="s">
        <v>12</v>
      </c>
      <c r="I1089">
        <v>71.3</v>
      </c>
      <c r="J1089" s="8">
        <f t="shared" si="233"/>
        <v>-5.3623573135120867E-2</v>
      </c>
      <c r="K1089" s="8">
        <f t="shared" si="234"/>
        <v>8.7719298245614086E-2</v>
      </c>
      <c r="L1089" s="6">
        <f t="shared" si="220"/>
        <v>-5.4130573135120867E-2</v>
      </c>
      <c r="M1089" t="str">
        <f>IF(COUNT(J1082:J1089)&lt;12,"",(AVERAGE(J1082:J1089)-N1089)/STDEV(J1082:J1089))</f>
        <v/>
      </c>
      <c r="N1089" s="15">
        <v>5.0699999999999996E-4</v>
      </c>
      <c r="O1089" s="8">
        <f>(I1089 - MAX(I1082:I1089)) / MAX(I1082:I1089)</f>
        <v>-5.3623573135120867E-2</v>
      </c>
      <c r="P1089" s="15">
        <v>-9.1899999999999996E-2</v>
      </c>
    </row>
    <row r="1090" spans="1:19" x14ac:dyDescent="0.3">
      <c r="A1090" s="2">
        <v>42248</v>
      </c>
      <c r="B1090">
        <v>2015</v>
      </c>
      <c r="C1090">
        <v>9</v>
      </c>
      <c r="D1090" t="s">
        <v>55</v>
      </c>
      <c r="E1090" t="s">
        <v>30</v>
      </c>
      <c r="F1090" t="s">
        <v>23</v>
      </c>
      <c r="G1090" t="s">
        <v>33</v>
      </c>
      <c r="H1090" t="s">
        <v>12</v>
      </c>
      <c r="I1090">
        <v>69.66</v>
      </c>
      <c r="J1090" s="8">
        <f t="shared" si="233"/>
        <v>-2.300140252454419E-2</v>
      </c>
      <c r="K1090" s="8">
        <f t="shared" si="234"/>
        <v>6.2700228832951899E-2</v>
      </c>
      <c r="L1090" s="6">
        <f t="shared" ref="L1090:L1153" si="235">J1090-N1090</f>
        <v>-2.354640252454419E-2</v>
      </c>
      <c r="M1090" t="str">
        <f>IF(COUNT(J1082:J1090)&lt;12,"",(AVERAGE(J1082:J1090)-N1090)/STDEV(J1082:J1090))</f>
        <v/>
      </c>
      <c r="N1090" s="15">
        <v>5.4500000000000002E-4</v>
      </c>
      <c r="O1090" s="8">
        <f>(I1090 - MAX(I1082:I1090)) / MAX(I1082:I1090)</f>
        <v>-7.5391558269179801E-2</v>
      </c>
      <c r="P1090" s="15">
        <v>-5.1700000000000003E-2</v>
      </c>
    </row>
    <row r="1091" spans="1:19" x14ac:dyDescent="0.3">
      <c r="A1091" s="2">
        <v>42278</v>
      </c>
      <c r="B1091">
        <v>2015</v>
      </c>
      <c r="C1091">
        <v>10</v>
      </c>
      <c r="D1091" t="s">
        <v>55</v>
      </c>
      <c r="E1091" t="s">
        <v>30</v>
      </c>
      <c r="F1091" t="s">
        <v>23</v>
      </c>
      <c r="G1091" t="s">
        <v>33</v>
      </c>
      <c r="H1091" t="s">
        <v>12</v>
      </c>
      <c r="I1091">
        <v>77.58</v>
      </c>
      <c r="J1091" s="8">
        <f t="shared" si="233"/>
        <v>0.11369509043927652</v>
      </c>
      <c r="K1091" s="8">
        <f t="shared" si="234"/>
        <v>0.18352402745995433</v>
      </c>
      <c r="L1091" s="6">
        <f t="shared" si="235"/>
        <v>0.11326309043927651</v>
      </c>
      <c r="M1091" t="str">
        <f>IF(COUNT(J1082:J1091)&lt;12,"",(AVERAGE(J1082:J1091)-N1091)/STDEV(J1082:J1091))</f>
        <v/>
      </c>
      <c r="N1091" s="15">
        <v>4.3199999999999998E-4</v>
      </c>
      <c r="O1091" s="8">
        <f>(I1091 - MAX(I1082:I1091)) / MAX(I1082:I1091)</f>
        <v>0</v>
      </c>
      <c r="P1091" s="15">
        <v>0.1024</v>
      </c>
    </row>
    <row r="1092" spans="1:19" x14ac:dyDescent="0.3">
      <c r="A1092" s="2">
        <v>42309</v>
      </c>
      <c r="B1092">
        <v>2015</v>
      </c>
      <c r="C1092">
        <v>11</v>
      </c>
      <c r="D1092" t="s">
        <v>55</v>
      </c>
      <c r="E1092" t="s">
        <v>30</v>
      </c>
      <c r="F1092" t="s">
        <v>23</v>
      </c>
      <c r="G1092" t="s">
        <v>33</v>
      </c>
      <c r="H1092" t="s">
        <v>12</v>
      </c>
      <c r="I1092">
        <v>79.010000000000005</v>
      </c>
      <c r="J1092" s="8">
        <f t="shared" si="233"/>
        <v>1.8432585717968637E-2</v>
      </c>
      <c r="K1092" s="8">
        <f t="shared" si="234"/>
        <v>0.20533943554538525</v>
      </c>
      <c r="L1092" s="6">
        <f t="shared" si="235"/>
        <v>1.8002585717968637E-2</v>
      </c>
      <c r="M1092" t="str">
        <f>IF(COUNT(J1082:J1092)&lt;12,"",(AVERAGE(J1082:J1092)-N1092)/STDEV(J1082:J1092))</f>
        <v/>
      </c>
      <c r="N1092" s="15">
        <v>4.2999999999999999E-4</v>
      </c>
      <c r="O1092" s="8">
        <f>(I1092 - MAX(I1082:I1092)) / MAX(I1082:I1092)</f>
        <v>0</v>
      </c>
      <c r="P1092" s="15">
        <v>2.58E-2</v>
      </c>
    </row>
    <row r="1093" spans="1:19" x14ac:dyDescent="0.3">
      <c r="A1093" s="2">
        <v>42339</v>
      </c>
      <c r="B1093">
        <v>2015</v>
      </c>
      <c r="C1093">
        <v>12</v>
      </c>
      <c r="D1093" t="s">
        <v>55</v>
      </c>
      <c r="E1093" t="s">
        <v>30</v>
      </c>
      <c r="F1093" t="s">
        <v>23</v>
      </c>
      <c r="G1093" t="s">
        <v>33</v>
      </c>
      <c r="H1093" t="s">
        <v>12</v>
      </c>
      <c r="I1093">
        <v>77.55</v>
      </c>
      <c r="J1093" s="8">
        <f t="shared" si="233"/>
        <v>-1.8478673585622173E-2</v>
      </c>
      <c r="K1093" s="8">
        <f t="shared" si="234"/>
        <v>0.18306636155606393</v>
      </c>
      <c r="L1093" s="6">
        <f t="shared" si="235"/>
        <v>-1.8933673585622174E-2</v>
      </c>
      <c r="M1093">
        <f t="shared" ref="M1093:M1124" si="236">(AVERAGE(J1082:J1093)-AVERAGE(N1082:N1093))/STDEV(J1082:J1093)</f>
        <v>0.2607212699902981</v>
      </c>
      <c r="N1093" s="15">
        <v>4.55E-4</v>
      </c>
      <c r="O1093" s="8">
        <f>(I1093 - MAX(I1082:I1093)) / MAX(I1082:I1093)</f>
        <v>-1.8478673585622173E-2</v>
      </c>
      <c r="P1093" s="15">
        <v>-6.2300000000000001E-2</v>
      </c>
      <c r="Q1093">
        <f t="shared" ref="Q1093:Q1124" si="237" xml:space="preserve"> _xlfn.COVARIANCE.P(J1082:J1093, P1082:P1093) / _xlfn.VAR.P(P1082:P1093)</f>
        <v>0.65069479329554103</v>
      </c>
      <c r="R1093">
        <f t="shared" ref="R1093:R1124" si="238">AVERAGE(J1082:J1093)-(AVERAGE(N1082:N1093)+Q1093*(AVERAGE(P1082:P1093)-AVERAGE(N1082:N1093)))</f>
        <v>1.1948054729932659E-2</v>
      </c>
      <c r="S1093" s="15">
        <f t="shared" ref="S1093:S1124" si="239">STDEV(J1082:J1093)</f>
        <v>5.8253052701646532E-2</v>
      </c>
    </row>
    <row r="1094" spans="1:19" x14ac:dyDescent="0.3">
      <c r="A1094" s="2">
        <v>42370</v>
      </c>
      <c r="B1094">
        <v>2016</v>
      </c>
      <c r="C1094">
        <v>1</v>
      </c>
      <c r="D1094" t="s">
        <v>55</v>
      </c>
      <c r="E1094" t="s">
        <v>30</v>
      </c>
      <c r="F1094" t="s">
        <v>23</v>
      </c>
      <c r="G1094" t="s">
        <v>33</v>
      </c>
      <c r="H1094" t="s">
        <v>12</v>
      </c>
      <c r="I1094">
        <v>74.489999999999995</v>
      </c>
      <c r="J1094" s="8">
        <f t="shared" si="233"/>
        <v>-3.9458413926499063E-2</v>
      </c>
      <c r="K1094" s="8">
        <f t="shared" si="234"/>
        <v>0.13638443935926747</v>
      </c>
      <c r="L1094" s="6">
        <f t="shared" si="235"/>
        <v>-3.9817413926499061E-2</v>
      </c>
      <c r="M1094">
        <f t="shared" si="236"/>
        <v>0.24030445155082034</v>
      </c>
      <c r="N1094" s="15">
        <v>3.59E-4</v>
      </c>
      <c r="O1094" s="8">
        <f>(I1094 - MAX(I1082:I1094)) / MAX(I1082:I1094)</f>
        <v>-5.7207948360967091E-2</v>
      </c>
      <c r="P1094" s="15">
        <v>-7.3899999999999993E-2</v>
      </c>
      <c r="Q1094">
        <f t="shared" si="237"/>
        <v>0.79501493647206412</v>
      </c>
      <c r="R1094">
        <f t="shared" si="238"/>
        <v>1.9470018353786034E-2</v>
      </c>
      <c r="S1094" s="15">
        <f t="shared" si="239"/>
        <v>5.9135528695377096E-2</v>
      </c>
    </row>
    <row r="1095" spans="1:19" x14ac:dyDescent="0.3">
      <c r="A1095" s="2">
        <v>42401</v>
      </c>
      <c r="B1095">
        <v>2016</v>
      </c>
      <c r="C1095">
        <v>2</v>
      </c>
      <c r="D1095" t="s">
        <v>55</v>
      </c>
      <c r="E1095" t="s">
        <v>30</v>
      </c>
      <c r="F1095" t="s">
        <v>23</v>
      </c>
      <c r="G1095" t="s">
        <v>33</v>
      </c>
      <c r="H1095" t="s">
        <v>12</v>
      </c>
      <c r="I1095">
        <v>72.39</v>
      </c>
      <c r="J1095" s="8">
        <f t="shared" si="233"/>
        <v>-2.8191703584373666E-2</v>
      </c>
      <c r="K1095" s="8">
        <f t="shared" si="234"/>
        <v>0.10434782608695636</v>
      </c>
      <c r="L1095" s="6">
        <f t="shared" si="235"/>
        <v>-2.8335703584373664E-2</v>
      </c>
      <c r="M1095">
        <f t="shared" si="236"/>
        <v>0.11205546764667726</v>
      </c>
      <c r="N1095" s="15">
        <v>1.44E-4</v>
      </c>
      <c r="O1095" s="8">
        <f>(I1095 - MAX(I1082:I1095)) / MAX(I1082:I1095)</f>
        <v>-8.3786862422478223E-2</v>
      </c>
      <c r="P1095" s="15">
        <v>-3.2599999999999997E-2</v>
      </c>
      <c r="Q1095">
        <f t="shared" si="237"/>
        <v>0.840595372978861</v>
      </c>
      <c r="R1095">
        <f t="shared" si="238"/>
        <v>1.9522810418229893E-2</v>
      </c>
      <c r="S1095" s="15">
        <f t="shared" si="239"/>
        <v>5.8087867004999773E-2</v>
      </c>
    </row>
    <row r="1096" spans="1:19" x14ac:dyDescent="0.3">
      <c r="A1096" s="2">
        <v>42430</v>
      </c>
      <c r="B1096">
        <v>2016</v>
      </c>
      <c r="C1096">
        <v>3</v>
      </c>
      <c r="D1096" t="s">
        <v>55</v>
      </c>
      <c r="E1096" t="s">
        <v>30</v>
      </c>
      <c r="F1096" t="s">
        <v>23</v>
      </c>
      <c r="G1096" t="s">
        <v>33</v>
      </c>
      <c r="H1096" t="s">
        <v>12</v>
      </c>
      <c r="I1096">
        <v>76.48</v>
      </c>
      <c r="J1096" s="8">
        <f t="shared" si="233"/>
        <v>5.6499516507804992E-2</v>
      </c>
      <c r="K1096" s="8">
        <f t="shared" si="234"/>
        <v>0.16674294431731496</v>
      </c>
      <c r="L1096" s="6">
        <f t="shared" si="235"/>
        <v>5.6356516507804995E-2</v>
      </c>
      <c r="M1096">
        <f t="shared" si="236"/>
        <v>0.24456908959783485</v>
      </c>
      <c r="N1096" s="15">
        <v>1.4300000000000001E-4</v>
      </c>
      <c r="O1096" s="8">
        <f>(I1096 - MAX(I1082:I1096)) / MAX(I1082:I1096)</f>
        <v>-3.2021263131249221E-2</v>
      </c>
      <c r="P1096" s="15">
        <v>2.01E-2</v>
      </c>
      <c r="Q1096">
        <f t="shared" si="237"/>
        <v>0.95673712481705564</v>
      </c>
      <c r="R1096">
        <f t="shared" si="238"/>
        <v>2.9576488858211354E-2</v>
      </c>
      <c r="S1096" s="15">
        <f t="shared" si="239"/>
        <v>5.8038031596817141E-2</v>
      </c>
    </row>
    <row r="1097" spans="1:19" x14ac:dyDescent="0.3">
      <c r="A1097" s="2">
        <v>42461</v>
      </c>
      <c r="B1097">
        <v>2016</v>
      </c>
      <c r="C1097">
        <v>4</v>
      </c>
      <c r="D1097" t="s">
        <v>55</v>
      </c>
      <c r="E1097" t="s">
        <v>30</v>
      </c>
      <c r="F1097" t="s">
        <v>23</v>
      </c>
      <c r="G1097" t="s">
        <v>33</v>
      </c>
      <c r="H1097" t="s">
        <v>12</v>
      </c>
      <c r="I1097">
        <v>77.239999999999995</v>
      </c>
      <c r="J1097" s="8">
        <f t="shared" si="233"/>
        <v>9.9372384937237296E-3</v>
      </c>
      <c r="K1097" s="8">
        <f t="shared" si="234"/>
        <v>0.17833714721586547</v>
      </c>
      <c r="L1097" s="6">
        <f t="shared" si="235"/>
        <v>9.8252384937237303E-3</v>
      </c>
      <c r="M1097">
        <f t="shared" si="236"/>
        <v>0.24477891768996926</v>
      </c>
      <c r="N1097" s="15">
        <v>1.12E-4</v>
      </c>
      <c r="O1097" s="8">
        <f>(I1097 - MAX(I1082:I1097)) / MAX(I1082:I1097)</f>
        <v>-2.2402227566130997E-2</v>
      </c>
      <c r="P1097" s="15">
        <v>7.7000000000000002E-3</v>
      </c>
      <c r="Q1097">
        <f t="shared" si="237"/>
        <v>0.94118499502766173</v>
      </c>
      <c r="R1097">
        <f t="shared" si="238"/>
        <v>2.7001854008603686E-2</v>
      </c>
      <c r="S1097" s="15">
        <f t="shared" si="239"/>
        <v>5.8036896473850297E-2</v>
      </c>
    </row>
    <row r="1098" spans="1:19" x14ac:dyDescent="0.3">
      <c r="A1098" s="2">
        <v>42491</v>
      </c>
      <c r="B1098">
        <v>2016</v>
      </c>
      <c r="C1098">
        <v>5</v>
      </c>
      <c r="D1098" t="s">
        <v>55</v>
      </c>
      <c r="E1098" t="s">
        <v>30</v>
      </c>
      <c r="F1098" t="s">
        <v>23</v>
      </c>
      <c r="G1098" t="s">
        <v>33</v>
      </c>
      <c r="H1098" t="s">
        <v>12</v>
      </c>
      <c r="I1098">
        <v>78.94</v>
      </c>
      <c r="J1098" s="8">
        <f t="shared" si="233"/>
        <v>2.2009321595028521E-2</v>
      </c>
      <c r="K1098" s="8">
        <f t="shared" si="234"/>
        <v>0.20427154843630801</v>
      </c>
      <c r="L1098" s="6">
        <f t="shared" si="235"/>
        <v>2.1898321595028521E-2</v>
      </c>
      <c r="M1098">
        <f t="shared" si="236"/>
        <v>0.22153559100702133</v>
      </c>
      <c r="N1098" s="15">
        <v>1.11E-4</v>
      </c>
      <c r="O1098" s="8">
        <f>(I1098 - MAX(I1082:I1098)) / MAX(I1082:I1098)</f>
        <v>-8.8596380205046687E-4</v>
      </c>
      <c r="P1098" s="15">
        <v>1.1599999999999999E-2</v>
      </c>
      <c r="Q1098">
        <f t="shared" si="237"/>
        <v>0.93194474700063878</v>
      </c>
      <c r="R1098">
        <f t="shared" si="238"/>
        <v>2.3530254165040169E-2</v>
      </c>
      <c r="S1098" s="15">
        <f t="shared" si="239"/>
        <v>5.7559414382716008E-2</v>
      </c>
    </row>
    <row r="1099" spans="1:19" x14ac:dyDescent="0.3">
      <c r="A1099" s="2">
        <v>42522</v>
      </c>
      <c r="B1099">
        <v>2016</v>
      </c>
      <c r="C1099">
        <v>6</v>
      </c>
      <c r="D1099" t="s">
        <v>55</v>
      </c>
      <c r="E1099" t="s">
        <v>30</v>
      </c>
      <c r="F1099" t="s">
        <v>23</v>
      </c>
      <c r="G1099" t="s">
        <v>33</v>
      </c>
      <c r="H1099" t="s">
        <v>12</v>
      </c>
      <c r="I1099">
        <v>74.17</v>
      </c>
      <c r="J1099" s="8">
        <f t="shared" si="233"/>
        <v>-6.0425639726374415E-2</v>
      </c>
      <c r="K1099" s="8">
        <f t="shared" si="234"/>
        <v>0.13150266971777258</v>
      </c>
      <c r="L1099" s="6">
        <f t="shared" si="235"/>
        <v>-6.0411639726374415E-2</v>
      </c>
      <c r="M1099">
        <f t="shared" si="236"/>
        <v>0.1587257525498707</v>
      </c>
      <c r="N1099" s="15">
        <v>-1.4E-5</v>
      </c>
      <c r="O1099" s="8">
        <f>(I1099 - MAX(I1082:I1099)) / MAX(I1082:I1099)</f>
        <v>-6.1258068598911572E-2</v>
      </c>
      <c r="P1099" s="15">
        <v>-6.4899999999999999E-2</v>
      </c>
      <c r="Q1099">
        <f t="shared" si="237"/>
        <v>0.95830872272487255</v>
      </c>
      <c r="R1099">
        <f t="shared" si="238"/>
        <v>2.2567120051408936E-2</v>
      </c>
      <c r="S1099" s="15">
        <f t="shared" si="239"/>
        <v>6.0662333584679332E-2</v>
      </c>
    </row>
    <row r="1100" spans="1:19" x14ac:dyDescent="0.3">
      <c r="A1100" s="2">
        <v>42552</v>
      </c>
      <c r="B1100">
        <v>2016</v>
      </c>
      <c r="C1100">
        <v>7</v>
      </c>
      <c r="D1100" t="s">
        <v>55</v>
      </c>
      <c r="E1100" t="s">
        <v>30</v>
      </c>
      <c r="F1100" t="s">
        <v>23</v>
      </c>
      <c r="G1100" t="s">
        <v>33</v>
      </c>
      <c r="H1100" t="s">
        <v>12</v>
      </c>
      <c r="I1100">
        <v>78.05</v>
      </c>
      <c r="J1100" s="8">
        <f t="shared" si="233"/>
        <v>5.2312255628960434E-2</v>
      </c>
      <c r="K1100" s="8">
        <f t="shared" si="234"/>
        <v>0.19069412662089991</v>
      </c>
      <c r="L1100" s="6">
        <f t="shared" si="235"/>
        <v>5.2441255628960431E-2</v>
      </c>
      <c r="M1100">
        <f t="shared" si="236"/>
        <v>7.5234486521346608E-2</v>
      </c>
      <c r="N1100" s="15">
        <v>-1.2899999999999999E-4</v>
      </c>
      <c r="O1100" s="8">
        <f>(I1100 - MAX(I1082:I1100)) / MAX(I1082:I1100)</f>
        <v>-1.2150360713833791E-2</v>
      </c>
      <c r="P1100" s="15">
        <v>4.3999999999999997E-2</v>
      </c>
      <c r="Q1100">
        <f t="shared" si="237"/>
        <v>0.85095649437893561</v>
      </c>
      <c r="R1100">
        <f t="shared" si="238"/>
        <v>1.5854066947410077E-2</v>
      </c>
      <c r="S1100" s="15">
        <f t="shared" si="239"/>
        <v>5.1629250599726804E-2</v>
      </c>
    </row>
    <row r="1101" spans="1:19" x14ac:dyDescent="0.3">
      <c r="A1101" s="2">
        <v>42583</v>
      </c>
      <c r="B1101">
        <v>2016</v>
      </c>
      <c r="C1101">
        <v>8</v>
      </c>
      <c r="D1101" t="s">
        <v>55</v>
      </c>
      <c r="E1101" t="s">
        <v>30</v>
      </c>
      <c r="F1101" t="s">
        <v>23</v>
      </c>
      <c r="G1101" t="s">
        <v>33</v>
      </c>
      <c r="H1101" t="s">
        <v>12</v>
      </c>
      <c r="I1101">
        <v>80.900000000000006</v>
      </c>
      <c r="J1101" s="8">
        <f t="shared" si="233"/>
        <v>3.6515054452274293E-2</v>
      </c>
      <c r="K1101" s="8">
        <f t="shared" si="234"/>
        <v>0.23417238749046532</v>
      </c>
      <c r="L1101" s="6">
        <f t="shared" si="235"/>
        <v>3.6625054452274292E-2</v>
      </c>
      <c r="M1101">
        <f t="shared" si="236"/>
        <v>0.23386399563598184</v>
      </c>
      <c r="N1101" s="15">
        <v>-1.1E-4</v>
      </c>
      <c r="O1101" s="8">
        <f>(I1101 - MAX(I1082:I1101)) / MAX(I1082:I1101)</f>
        <v>0</v>
      </c>
      <c r="P1101" s="15">
        <v>1.0800000000000001E-2</v>
      </c>
      <c r="Q1101">
        <f t="shared" si="237"/>
        <v>0.88139083254090933</v>
      </c>
      <c r="R1101">
        <f t="shared" si="238"/>
        <v>1.6256578201728107E-2</v>
      </c>
      <c r="S1101" s="15">
        <f t="shared" si="239"/>
        <v>4.8948403078628411E-2</v>
      </c>
    </row>
    <row r="1102" spans="1:19" x14ac:dyDescent="0.3">
      <c r="A1102" s="2">
        <v>42614</v>
      </c>
      <c r="B1102">
        <v>2016</v>
      </c>
      <c r="C1102">
        <v>9</v>
      </c>
      <c r="D1102" t="s">
        <v>55</v>
      </c>
      <c r="E1102" t="s">
        <v>30</v>
      </c>
      <c r="F1102" t="s">
        <v>23</v>
      </c>
      <c r="G1102" t="s">
        <v>33</v>
      </c>
      <c r="H1102" t="s">
        <v>12</v>
      </c>
      <c r="I1102">
        <v>82.7</v>
      </c>
      <c r="J1102" s="8">
        <f t="shared" si="233"/>
        <v>2.2249690976514178E-2</v>
      </c>
      <c r="K1102" s="8">
        <f t="shared" si="234"/>
        <v>0.26163234172387484</v>
      </c>
      <c r="L1102" s="6">
        <f t="shared" si="235"/>
        <v>2.2319690976514178E-2</v>
      </c>
      <c r="M1102">
        <f t="shared" si="236"/>
        <v>0.31968095583256084</v>
      </c>
      <c r="N1102" s="15">
        <v>-6.9999999999999994E-5</v>
      </c>
      <c r="O1102" s="8">
        <f>(I1102 - MAX(I1082:I1102)) / MAX(I1082:I1102)</f>
        <v>0</v>
      </c>
      <c r="P1102" s="15">
        <v>-6.8999999999999999E-3</v>
      </c>
      <c r="Q1102">
        <f t="shared" si="237"/>
        <v>0.89020098991666496</v>
      </c>
      <c r="R1102">
        <f t="shared" si="238"/>
        <v>1.6757785454115003E-2</v>
      </c>
      <c r="S1102" s="15">
        <f t="shared" si="239"/>
        <v>4.7764633156276715E-2</v>
      </c>
    </row>
    <row r="1103" spans="1:19" x14ac:dyDescent="0.3">
      <c r="A1103" s="2">
        <v>42644</v>
      </c>
      <c r="B1103">
        <v>2016</v>
      </c>
      <c r="C1103">
        <v>10</v>
      </c>
      <c r="D1103" t="s">
        <v>55</v>
      </c>
      <c r="E1103" t="s">
        <v>30</v>
      </c>
      <c r="F1103" t="s">
        <v>23</v>
      </c>
      <c r="G1103" t="s">
        <v>33</v>
      </c>
      <c r="H1103" t="s">
        <v>12</v>
      </c>
      <c r="I1103">
        <v>82.51</v>
      </c>
      <c r="J1103" s="8">
        <f t="shared" si="233"/>
        <v>-2.2974607013300811E-3</v>
      </c>
      <c r="K1103" s="8">
        <f t="shared" si="234"/>
        <v>0.2587337909992371</v>
      </c>
      <c r="L1103" s="6">
        <f t="shared" si="235"/>
        <v>-2.2994607013300809E-3</v>
      </c>
      <c r="M1103">
        <f t="shared" si="236"/>
        <v>0.15462019368714819</v>
      </c>
      <c r="N1103" s="15">
        <v>1.9999999999999999E-6</v>
      </c>
      <c r="O1103" s="8">
        <f>(I1103 - MAX(I1082:I1103)) / MAX(I1082:I1103)</f>
        <v>-2.2974607013300811E-3</v>
      </c>
      <c r="P1103" s="15">
        <v>1.77E-2</v>
      </c>
      <c r="Q1103">
        <f t="shared" si="237"/>
        <v>0.80090870539480996</v>
      </c>
      <c r="R1103">
        <f t="shared" si="238"/>
        <v>1.2602664984002672E-2</v>
      </c>
      <c r="S1103" s="15">
        <f t="shared" si="239"/>
        <v>3.6471503837007153E-2</v>
      </c>
    </row>
    <row r="1104" spans="1:19" x14ac:dyDescent="0.3">
      <c r="A1104" s="2">
        <v>42675</v>
      </c>
      <c r="B1104">
        <v>2016</v>
      </c>
      <c r="C1104">
        <v>11</v>
      </c>
      <c r="D1104" t="s">
        <v>55</v>
      </c>
      <c r="E1104" t="s">
        <v>30</v>
      </c>
      <c r="F1104" t="s">
        <v>23</v>
      </c>
      <c r="G1104" t="s">
        <v>33</v>
      </c>
      <c r="H1104" t="s">
        <v>12</v>
      </c>
      <c r="I1104">
        <v>77.319999999999993</v>
      </c>
      <c r="J1104" s="8">
        <f t="shared" si="233"/>
        <v>-6.2901466488910582E-2</v>
      </c>
      <c r="K1104" s="8">
        <f t="shared" si="234"/>
        <v>0.17955758962623913</v>
      </c>
      <c r="L1104" s="6">
        <f t="shared" si="235"/>
        <v>-6.3059466488910587E-2</v>
      </c>
      <c r="M1104">
        <f t="shared" si="236"/>
        <v>-2.7113272468602741E-2</v>
      </c>
      <c r="N1104" s="15">
        <v>1.5799999999999999E-4</v>
      </c>
      <c r="O1104" s="8">
        <f>(I1104 - MAX(I1082:I1104)) / MAX(I1082:I1104)</f>
        <v>-6.5054413542926348E-2</v>
      </c>
      <c r="P1104" s="15">
        <v>-1.1999999999999999E-3</v>
      </c>
      <c r="Q1104">
        <f t="shared" si="237"/>
        <v>0.79021111828186519</v>
      </c>
      <c r="R1104">
        <f t="shared" si="238"/>
        <v>7.5145482511946408E-3</v>
      </c>
      <c r="S1104" s="15">
        <f t="shared" si="239"/>
        <v>4.1158441172771822E-2</v>
      </c>
    </row>
    <row r="1105" spans="1:19" x14ac:dyDescent="0.3">
      <c r="A1105" s="2">
        <v>42705</v>
      </c>
      <c r="B1105">
        <v>2016</v>
      </c>
      <c r="C1105">
        <v>12</v>
      </c>
      <c r="D1105" t="s">
        <v>55</v>
      </c>
      <c r="E1105" t="s">
        <v>30</v>
      </c>
      <c r="F1105" t="s">
        <v>23</v>
      </c>
      <c r="G1105" t="s">
        <v>33</v>
      </c>
      <c r="H1105" t="s">
        <v>12</v>
      </c>
      <c r="I1105">
        <v>78.02</v>
      </c>
      <c r="J1105" s="8">
        <f t="shared" si="233"/>
        <v>9.0532850491464416E-3</v>
      </c>
      <c r="K1105" s="8">
        <f t="shared" si="234"/>
        <v>0.19023646071700973</v>
      </c>
      <c r="L1105" s="6">
        <f t="shared" si="235"/>
        <v>8.8432850491464415E-3</v>
      </c>
      <c r="M1105">
        <f t="shared" si="236"/>
        <v>2.9337203597610894E-2</v>
      </c>
      <c r="N1105" s="15">
        <v>2.1000000000000001E-4</v>
      </c>
      <c r="O1105" s="8">
        <f>(I1105 - MAX(I1082:I1105)) / MAX(I1082:I1105)</f>
        <v>-5.6590084643289074E-2</v>
      </c>
      <c r="P1105" s="15">
        <v>7.8299999999999995E-2</v>
      </c>
      <c r="Q1105">
        <f t="shared" si="237"/>
        <v>0.62891962742898477</v>
      </c>
      <c r="R1105">
        <f t="shared" si="238"/>
        <v>6.8602738676663334E-4</v>
      </c>
      <c r="S1105" s="15">
        <f t="shared" si="239"/>
        <v>4.0863012693366986E-2</v>
      </c>
    </row>
    <row r="1106" spans="1:19" x14ac:dyDescent="0.3">
      <c r="A1106" s="2">
        <v>42736</v>
      </c>
      <c r="B1106">
        <v>2017</v>
      </c>
      <c r="C1106">
        <v>1</v>
      </c>
      <c r="D1106" t="s">
        <v>55</v>
      </c>
      <c r="E1106" t="s">
        <v>30</v>
      </c>
      <c r="F1106" t="s">
        <v>23</v>
      </c>
      <c r="G1106" t="s">
        <v>33</v>
      </c>
      <c r="H1106" t="s">
        <v>12</v>
      </c>
      <c r="I1106">
        <v>82.71</v>
      </c>
      <c r="J1106" s="8">
        <f t="shared" si="233"/>
        <v>6.0112791591899487E-2</v>
      </c>
      <c r="K1106" s="8">
        <f t="shared" si="234"/>
        <v>0.26178489702517149</v>
      </c>
      <c r="L1106" s="6">
        <f t="shared" si="235"/>
        <v>5.9903791591899486E-2</v>
      </c>
      <c r="M1106">
        <f t="shared" si="236"/>
        <v>0.22675287636946431</v>
      </c>
      <c r="N1106" s="15">
        <v>2.0900000000000001E-4</v>
      </c>
      <c r="O1106" s="8">
        <f>(I1106 - MAX(I1082:I1106)) / MAX(I1082:I1106)</f>
        <v>0</v>
      </c>
      <c r="P1106" s="15">
        <v>-1.8200000000000001E-2</v>
      </c>
      <c r="Q1106">
        <f t="shared" si="237"/>
        <v>0.54683251290662582</v>
      </c>
      <c r="R1106">
        <f t="shared" si="238"/>
        <v>6.5180065535208227E-3</v>
      </c>
      <c r="S1106" s="15">
        <f t="shared" si="239"/>
        <v>4.1935110747482136E-2</v>
      </c>
    </row>
    <row r="1107" spans="1:19" x14ac:dyDescent="0.3">
      <c r="A1107" s="2">
        <v>42767</v>
      </c>
      <c r="B1107">
        <v>2017</v>
      </c>
      <c r="C1107">
        <v>2</v>
      </c>
      <c r="D1107" t="s">
        <v>55</v>
      </c>
      <c r="E1107" t="s">
        <v>30</v>
      </c>
      <c r="F1107" t="s">
        <v>23</v>
      </c>
      <c r="G1107" t="s">
        <v>33</v>
      </c>
      <c r="H1107" t="s">
        <v>12</v>
      </c>
      <c r="I1107">
        <v>87.94</v>
      </c>
      <c r="J1107" s="8">
        <f t="shared" si="233"/>
        <v>6.3232982710675914E-2</v>
      </c>
      <c r="K1107" s="8">
        <f t="shared" si="234"/>
        <v>0.34157131960335607</v>
      </c>
      <c r="L1107" s="6">
        <f t="shared" si="235"/>
        <v>6.3017982710675907E-2</v>
      </c>
      <c r="M1107">
        <f t="shared" si="236"/>
        <v>0.40053154328509011</v>
      </c>
      <c r="N1107" s="15">
        <v>2.1499999999999999E-4</v>
      </c>
      <c r="O1107" s="8">
        <f>(I1107 - MAX(I1082:I1107)) / MAX(I1082:I1107)</f>
        <v>0</v>
      </c>
      <c r="P1107" s="15">
        <v>2.75E-2</v>
      </c>
      <c r="Q1107">
        <f t="shared" si="237"/>
        <v>0.54505336223692458</v>
      </c>
      <c r="R1107">
        <f t="shared" si="238"/>
        <v>1.1413960785886187E-2</v>
      </c>
      <c r="S1107" s="15">
        <f t="shared" si="239"/>
        <v>4.2747480095296407E-2</v>
      </c>
    </row>
    <row r="1108" spans="1:19" x14ac:dyDescent="0.3">
      <c r="A1108" s="2">
        <v>42795</v>
      </c>
      <c r="B1108">
        <v>2017</v>
      </c>
      <c r="C1108">
        <v>3</v>
      </c>
      <c r="D1108" t="s">
        <v>55</v>
      </c>
      <c r="E1108" t="s">
        <v>30</v>
      </c>
      <c r="F1108" t="s">
        <v>23</v>
      </c>
      <c r="G1108" t="s">
        <v>33</v>
      </c>
      <c r="H1108" t="s">
        <v>12</v>
      </c>
      <c r="I1108">
        <v>88.87</v>
      </c>
      <c r="J1108" s="8">
        <f t="shared" si="233"/>
        <v>1.057539231294072E-2</v>
      </c>
      <c r="K1108" s="8">
        <f t="shared" si="234"/>
        <v>0.35575896262395124</v>
      </c>
      <c r="L1108" s="6">
        <f t="shared" si="235"/>
        <v>1.0285392312940719E-2</v>
      </c>
      <c r="M1108">
        <f t="shared" si="236"/>
        <v>0.32455331903589985</v>
      </c>
      <c r="N1108" s="15">
        <v>2.9E-4</v>
      </c>
      <c r="O1108" s="8">
        <f>(I1108 - MAX(I1082:I1108)) / MAX(I1082:I1108)</f>
        <v>0</v>
      </c>
      <c r="P1108" s="15">
        <v>5.4600000000000003E-2</v>
      </c>
      <c r="Q1108">
        <f t="shared" si="237"/>
        <v>0.44483030845684868</v>
      </c>
      <c r="R1108">
        <f t="shared" si="238"/>
        <v>7.3507899380431292E-3</v>
      </c>
      <c r="S1108" s="15">
        <f t="shared" si="239"/>
        <v>4.0925336594929432E-2</v>
      </c>
    </row>
    <row r="1109" spans="1:19" x14ac:dyDescent="0.3">
      <c r="A1109" s="2">
        <v>42826</v>
      </c>
      <c r="B1109">
        <v>2017</v>
      </c>
      <c r="C1109">
        <v>4</v>
      </c>
      <c r="D1109" t="s">
        <v>55</v>
      </c>
      <c r="E1109" t="s">
        <v>30</v>
      </c>
      <c r="F1109" t="s">
        <v>23</v>
      </c>
      <c r="G1109" t="s">
        <v>33</v>
      </c>
      <c r="H1109" t="s">
        <v>12</v>
      </c>
      <c r="I1109">
        <v>91.22</v>
      </c>
      <c r="J1109" s="8">
        <f t="shared" si="233"/>
        <v>2.6443119162822035E-2</v>
      </c>
      <c r="K1109" s="8">
        <f t="shared" si="234"/>
        <v>0.39160945842868045</v>
      </c>
      <c r="L1109" s="6">
        <f t="shared" si="235"/>
        <v>2.6255119162822034E-2</v>
      </c>
      <c r="M1109">
        <f t="shared" si="236"/>
        <v>0.35668842388763788</v>
      </c>
      <c r="N1109" s="15">
        <v>1.8799999999999999E-4</v>
      </c>
      <c r="O1109" s="8">
        <f>(I1109 - MAX(I1082:I1109)) / MAX(I1082:I1109)</f>
        <v>0</v>
      </c>
      <c r="P1109" s="15">
        <v>1.6799999999999999E-2</v>
      </c>
      <c r="Q1109">
        <f t="shared" si="237"/>
        <v>0.44649258847046197</v>
      </c>
      <c r="R1109">
        <f t="shared" si="238"/>
        <v>8.3620182840500046E-3</v>
      </c>
      <c r="S1109" s="15">
        <f t="shared" si="239"/>
        <v>4.1076776160209938E-2</v>
      </c>
    </row>
    <row r="1110" spans="1:19" x14ac:dyDescent="0.3">
      <c r="A1110" s="2">
        <v>42856</v>
      </c>
      <c r="B1110">
        <v>2017</v>
      </c>
      <c r="C1110">
        <v>5</v>
      </c>
      <c r="D1110" t="s">
        <v>55</v>
      </c>
      <c r="E1110" t="s">
        <v>30</v>
      </c>
      <c r="F1110" t="s">
        <v>23</v>
      </c>
      <c r="G1110" t="s">
        <v>33</v>
      </c>
      <c r="H1110" t="s">
        <v>12</v>
      </c>
      <c r="I1110">
        <v>95.23</v>
      </c>
      <c r="J1110" s="8">
        <f t="shared" si="233"/>
        <v>4.3959657969743535E-2</v>
      </c>
      <c r="K1110" s="8">
        <f t="shared" si="234"/>
        <v>0.45278413424866515</v>
      </c>
      <c r="L1110" s="6">
        <f t="shared" si="235"/>
        <v>4.3679657969743532E-2</v>
      </c>
      <c r="M1110">
        <f t="shared" si="236"/>
        <v>0.39290487716239358</v>
      </c>
      <c r="N1110" s="15">
        <v>2.7999999999999998E-4</v>
      </c>
      <c r="O1110" s="8">
        <f>(I1110 - MAX(I1082:I1110)) / MAX(I1082:I1110)</f>
        <v>0</v>
      </c>
      <c r="P1110" s="15">
        <v>-1.4E-3</v>
      </c>
      <c r="Q1110">
        <f t="shared" si="237"/>
        <v>0.41250429969503855</v>
      </c>
      <c r="R1110">
        <f t="shared" si="238"/>
        <v>1.1108600436716385E-2</v>
      </c>
      <c r="S1110" s="15">
        <f t="shared" si="239"/>
        <v>4.1910199818477226E-2</v>
      </c>
    </row>
    <row r="1111" spans="1:19" x14ac:dyDescent="0.3">
      <c r="A1111" s="2">
        <v>42887</v>
      </c>
      <c r="B1111">
        <v>2017</v>
      </c>
      <c r="C1111">
        <v>6</v>
      </c>
      <c r="D1111" t="s">
        <v>55</v>
      </c>
      <c r="E1111" t="s">
        <v>30</v>
      </c>
      <c r="F1111" t="s">
        <v>23</v>
      </c>
      <c r="G1111" t="s">
        <v>33</v>
      </c>
      <c r="H1111" t="s">
        <v>12</v>
      </c>
      <c r="I1111">
        <v>93.78</v>
      </c>
      <c r="J1111" s="8">
        <f t="shared" si="233"/>
        <v>-1.5226294235010006E-2</v>
      </c>
      <c r="K1111" s="8">
        <f t="shared" si="234"/>
        <v>0.4306636155606407</v>
      </c>
      <c r="L1111" s="6">
        <f t="shared" si="235"/>
        <v>-1.5435294235010007E-2</v>
      </c>
      <c r="M1111">
        <f t="shared" si="236"/>
        <v>0.56196215624579537</v>
      </c>
      <c r="N1111" s="15">
        <v>2.0900000000000001E-4</v>
      </c>
      <c r="O1111" s="8">
        <f>(I1111 - MAX(I1082:I1111)) / MAX(I1082:I1111)</f>
        <v>-1.5226294235010006E-2</v>
      </c>
      <c r="P1111" s="15">
        <v>-3.1699999999999999E-2</v>
      </c>
      <c r="Q1111">
        <f t="shared" si="237"/>
        <v>0.13816383178061573</v>
      </c>
      <c r="R1111">
        <f t="shared" si="238"/>
        <v>1.8040420427135054E-2</v>
      </c>
      <c r="S1111" s="15">
        <f t="shared" si="239"/>
        <v>3.5971729551189768E-2</v>
      </c>
    </row>
    <row r="1112" spans="1:19" x14ac:dyDescent="0.3">
      <c r="A1112" s="2">
        <v>42917</v>
      </c>
      <c r="B1112">
        <v>2017</v>
      </c>
      <c r="C1112">
        <v>7</v>
      </c>
      <c r="D1112" t="s">
        <v>55</v>
      </c>
      <c r="E1112" t="s">
        <v>30</v>
      </c>
      <c r="F1112" t="s">
        <v>23</v>
      </c>
      <c r="G1112" t="s">
        <v>33</v>
      </c>
      <c r="H1112" t="s">
        <v>12</v>
      </c>
      <c r="I1112">
        <v>99.56</v>
      </c>
      <c r="J1112" s="8">
        <f t="shared" si="233"/>
        <v>6.1633610577948403E-2</v>
      </c>
      <c r="K1112" s="8">
        <f t="shared" si="234"/>
        <v>0.51884057971014497</v>
      </c>
      <c r="L1112" s="6">
        <f t="shared" si="235"/>
        <v>6.1253610577948404E-2</v>
      </c>
      <c r="M1112">
        <f t="shared" si="236"/>
        <v>0.56902584734658912</v>
      </c>
      <c r="N1112" s="15">
        <v>3.8000000000000002E-4</v>
      </c>
      <c r="O1112" s="8">
        <f>(I1112 - MAX(I1082:I1112)) / MAX(I1082:I1112)</f>
        <v>0</v>
      </c>
      <c r="P1112" s="15">
        <v>2.2000000000000001E-3</v>
      </c>
      <c r="Q1112">
        <f t="shared" si="237"/>
        <v>7.1592094450160394E-3</v>
      </c>
      <c r="R1112">
        <f t="shared" si="238"/>
        <v>2.0861688332154259E-2</v>
      </c>
      <c r="S1112" s="15">
        <f t="shared" si="239"/>
        <v>3.6815750484060036E-2</v>
      </c>
    </row>
    <row r="1113" spans="1:19" x14ac:dyDescent="0.3">
      <c r="A1113" s="2">
        <v>42948</v>
      </c>
      <c r="B1113">
        <v>2017</v>
      </c>
      <c r="C1113">
        <v>8</v>
      </c>
      <c r="D1113" t="s">
        <v>55</v>
      </c>
      <c r="E1113" t="s">
        <v>30</v>
      </c>
      <c r="F1113" t="s">
        <v>23</v>
      </c>
      <c r="G1113" t="s">
        <v>33</v>
      </c>
      <c r="H1113" t="s">
        <v>12</v>
      </c>
      <c r="I1113">
        <v>103.52</v>
      </c>
      <c r="J1113" s="8">
        <f t="shared" si="233"/>
        <v>3.9775010044194391E-2</v>
      </c>
      <c r="K1113" s="8">
        <f t="shared" si="234"/>
        <v>0.57925247902364618</v>
      </c>
      <c r="L1113" s="6">
        <f t="shared" si="235"/>
        <v>3.9487010044194394E-2</v>
      </c>
      <c r="M1113">
        <f t="shared" si="236"/>
        <v>0.57338947764360015</v>
      </c>
      <c r="N1113" s="15">
        <v>2.8800000000000001E-4</v>
      </c>
      <c r="O1113" s="8">
        <f>(I1113 - MAX(I1082:I1113)) / MAX(I1082:I1113)</f>
        <v>0</v>
      </c>
      <c r="P1113" s="15">
        <v>-8.1000000000000013E-3</v>
      </c>
      <c r="Q1113">
        <f t="shared" si="237"/>
        <v>-2.6627152932956387E-2</v>
      </c>
      <c r="R1113">
        <f t="shared" si="238"/>
        <v>2.1469948711414725E-2</v>
      </c>
      <c r="S1113" s="15">
        <f t="shared" si="239"/>
        <v>3.6951515052721366E-2</v>
      </c>
    </row>
    <row r="1114" spans="1:19" x14ac:dyDescent="0.3">
      <c r="A1114" s="2">
        <v>42979</v>
      </c>
      <c r="B1114">
        <v>2017</v>
      </c>
      <c r="C1114">
        <v>9</v>
      </c>
      <c r="D1114" t="s">
        <v>55</v>
      </c>
      <c r="E1114" t="s">
        <v>30</v>
      </c>
      <c r="F1114" t="s">
        <v>23</v>
      </c>
      <c r="G1114" t="s">
        <v>33</v>
      </c>
      <c r="H1114" t="s">
        <v>12</v>
      </c>
      <c r="I1114">
        <v>105.24</v>
      </c>
      <c r="J1114" s="8">
        <f t="shared" si="233"/>
        <v>1.661514683153013E-2</v>
      </c>
      <c r="K1114" s="8">
        <f t="shared" si="234"/>
        <v>0.60549199084668204</v>
      </c>
      <c r="L1114" s="6">
        <f t="shared" si="235"/>
        <v>1.6326146831530129E-2</v>
      </c>
      <c r="M1114">
        <f t="shared" si="236"/>
        <v>0.55951251023078108</v>
      </c>
      <c r="N1114" s="15">
        <v>2.8899999999999998E-4</v>
      </c>
      <c r="O1114" s="8">
        <f>(I1114 - MAX(I1082:I1114)) / MAX(I1082:I1114)</f>
        <v>0</v>
      </c>
      <c r="P1114" s="15">
        <v>5.0700000000000002E-2</v>
      </c>
      <c r="Q1114">
        <f t="shared" si="237"/>
        <v>-3.7147219137969076E-2</v>
      </c>
      <c r="R1114">
        <f t="shared" si="238"/>
        <v>2.1259230675555098E-2</v>
      </c>
      <c r="S1114" s="15">
        <f t="shared" si="239"/>
        <v>3.697530890525455E-2</v>
      </c>
    </row>
    <row r="1115" spans="1:19" x14ac:dyDescent="0.3">
      <c r="A1115" s="2">
        <v>43009</v>
      </c>
      <c r="B1115">
        <v>2017</v>
      </c>
      <c r="C1115">
        <v>10</v>
      </c>
      <c r="D1115" t="s">
        <v>55</v>
      </c>
      <c r="E1115" t="s">
        <v>30</v>
      </c>
      <c r="F1115" t="s">
        <v>23</v>
      </c>
      <c r="G1115" t="s">
        <v>33</v>
      </c>
      <c r="H1115" t="s">
        <v>12</v>
      </c>
      <c r="I1115">
        <v>109.98</v>
      </c>
      <c r="J1115" s="8">
        <f t="shared" ref="J1115:J1146" si="240">(I1115-I1114)/I1114</f>
        <v>4.5039908779931671E-2</v>
      </c>
      <c r="K1115" s="8">
        <f t="shared" ref="K1115:K1146" si="241">(K1114+1)*(J1115+1)-1</f>
        <v>0.67780320366132729</v>
      </c>
      <c r="L1115" s="6">
        <f t="shared" si="235"/>
        <v>4.4729908779931674E-2</v>
      </c>
      <c r="M1115">
        <f t="shared" si="236"/>
        <v>0.66870345675112353</v>
      </c>
      <c r="N1115" s="15">
        <v>3.1E-4</v>
      </c>
      <c r="O1115" s="8">
        <f>(I1115 - MAX(I1082:I1115)) / MAX(I1082:I1115)</f>
        <v>0</v>
      </c>
      <c r="P1115" s="15">
        <v>1.8700000000000001E-2</v>
      </c>
      <c r="Q1115">
        <f t="shared" si="237"/>
        <v>-2.675793805209092E-2</v>
      </c>
      <c r="R1115">
        <f t="shared" si="238"/>
        <v>2.502016822731417E-2</v>
      </c>
      <c r="S1115" s="15">
        <f t="shared" si="239"/>
        <v>3.6798466909577054E-2</v>
      </c>
    </row>
    <row r="1116" spans="1:19" x14ac:dyDescent="0.3">
      <c r="A1116" s="2">
        <v>43040</v>
      </c>
      <c r="B1116">
        <v>2017</v>
      </c>
      <c r="C1116">
        <v>11</v>
      </c>
      <c r="D1116" t="s">
        <v>55</v>
      </c>
      <c r="E1116" t="s">
        <v>30</v>
      </c>
      <c r="F1116" t="s">
        <v>23</v>
      </c>
      <c r="G1116" t="s">
        <v>33</v>
      </c>
      <c r="H1116" t="s">
        <v>12</v>
      </c>
      <c r="I1116">
        <v>112.59</v>
      </c>
      <c r="J1116" s="8">
        <f t="shared" si="240"/>
        <v>2.3731587561374789E-2</v>
      </c>
      <c r="K1116" s="8">
        <f t="shared" si="241"/>
        <v>0.71762013729977125</v>
      </c>
      <c r="L1116" s="6">
        <f t="shared" si="235"/>
        <v>2.3474587561374789E-2</v>
      </c>
      <c r="M1116">
        <f t="shared" si="236"/>
        <v>1.3020181904439454</v>
      </c>
      <c r="N1116" s="15">
        <v>2.5700000000000001E-4</v>
      </c>
      <c r="O1116" s="8">
        <f>(I1116 - MAX(I1082:I1116)) / MAX(I1082:I1116)</f>
        <v>0</v>
      </c>
      <c r="P1116" s="15">
        <v>-2.52E-2</v>
      </c>
      <c r="Q1116">
        <f t="shared" si="237"/>
        <v>-0.12207621490563059</v>
      </c>
      <c r="R1116">
        <f t="shared" si="238"/>
        <v>3.3457052056093499E-2</v>
      </c>
      <c r="S1116" s="15">
        <f t="shared" si="239"/>
        <v>2.4437779310582511E-2</v>
      </c>
    </row>
    <row r="1117" spans="1:19" x14ac:dyDescent="0.3">
      <c r="A1117" s="2">
        <v>43070</v>
      </c>
      <c r="B1117">
        <v>2017</v>
      </c>
      <c r="C1117">
        <v>12</v>
      </c>
      <c r="D1117" t="s">
        <v>55</v>
      </c>
      <c r="E1117" t="s">
        <v>30</v>
      </c>
      <c r="F1117" t="s">
        <v>23</v>
      </c>
      <c r="G1117" t="s">
        <v>33</v>
      </c>
      <c r="H1117" t="s">
        <v>12</v>
      </c>
      <c r="I1117">
        <v>114.02</v>
      </c>
      <c r="J1117" s="8">
        <f t="shared" si="240"/>
        <v>1.2700950350830381E-2</v>
      </c>
      <c r="K1117" s="8">
        <f t="shared" si="241"/>
        <v>0.73943554538520218</v>
      </c>
      <c r="L1117" s="6">
        <f t="shared" si="235"/>
        <v>1.245395035083038E-2</v>
      </c>
      <c r="M1117">
        <f t="shared" si="236"/>
        <v>1.3301973224948314</v>
      </c>
      <c r="N1117" s="15">
        <v>2.4699999999999999E-4</v>
      </c>
      <c r="O1117" s="8">
        <f>(I1117 - MAX(I1082:I1117)) / MAX(I1082:I1117)</f>
        <v>0</v>
      </c>
      <c r="P1117" s="15">
        <v>-1.8499999999999999E-2</v>
      </c>
      <c r="Q1117">
        <f t="shared" si="237"/>
        <v>6.3717860515003638E-2</v>
      </c>
      <c r="R1117">
        <f t="shared" si="238"/>
        <v>3.1778229644593224E-2</v>
      </c>
      <c r="S1117" s="15">
        <f t="shared" si="239"/>
        <v>2.414628373430534E-2</v>
      </c>
    </row>
    <row r="1118" spans="1:19" x14ac:dyDescent="0.3">
      <c r="A1118" s="2">
        <v>43101</v>
      </c>
      <c r="B1118">
        <v>2018</v>
      </c>
      <c r="C1118">
        <v>1</v>
      </c>
      <c r="D1118" t="s">
        <v>55</v>
      </c>
      <c r="E1118" t="s">
        <v>30</v>
      </c>
      <c r="F1118" t="s">
        <v>23</v>
      </c>
      <c r="G1118" t="s">
        <v>33</v>
      </c>
      <c r="H1118" t="s">
        <v>12</v>
      </c>
      <c r="I1118">
        <v>124.23</v>
      </c>
      <c r="J1118" s="8">
        <f t="shared" si="240"/>
        <v>8.9545693737940787E-2</v>
      </c>
      <c r="K1118" s="8">
        <f t="shared" si="241"/>
        <v>0.89519450800915368</v>
      </c>
      <c r="L1118" s="6">
        <f t="shared" si="235"/>
        <v>8.9150693737940781E-2</v>
      </c>
      <c r="M1118">
        <f t="shared" si="236"/>
        <v>1.2189969356726282</v>
      </c>
      <c r="N1118" s="15">
        <v>3.9500000000000001E-4</v>
      </c>
      <c r="O1118" s="8">
        <f>(I1118 - MAX(I1082:I1118)) / MAX(I1082:I1118)</f>
        <v>0</v>
      </c>
      <c r="P1118" s="15">
        <v>3.0099999999999998E-2</v>
      </c>
      <c r="Q1118">
        <f t="shared" si="237"/>
        <v>0.28589951056909707</v>
      </c>
      <c r="R1118">
        <f t="shared" si="238"/>
        <v>3.1879781999455299E-2</v>
      </c>
      <c r="S1118" s="15">
        <f t="shared" si="239"/>
        <v>2.8348359873447089E-2</v>
      </c>
    </row>
    <row r="1119" spans="1:19" x14ac:dyDescent="0.3">
      <c r="A1119" s="2">
        <v>43132</v>
      </c>
      <c r="B1119">
        <v>2018</v>
      </c>
      <c r="C1119">
        <v>2</v>
      </c>
      <c r="D1119" t="s">
        <v>55</v>
      </c>
      <c r="E1119" t="s">
        <v>30</v>
      </c>
      <c r="F1119" t="s">
        <v>23</v>
      </c>
      <c r="G1119" t="s">
        <v>33</v>
      </c>
      <c r="H1119" t="s">
        <v>12</v>
      </c>
      <c r="I1119">
        <v>122.94</v>
      </c>
      <c r="J1119" s="8">
        <f t="shared" si="240"/>
        <v>-1.0383965225790923E-2</v>
      </c>
      <c r="K1119" s="8">
        <f t="shared" si="241"/>
        <v>0.87551487414187679</v>
      </c>
      <c r="L1119" s="6">
        <f t="shared" si="235"/>
        <v>-1.0932965225790924E-2</v>
      </c>
      <c r="M1119">
        <f t="shared" si="236"/>
        <v>0.95980733728689627</v>
      </c>
      <c r="N1119" s="15">
        <v>5.4900000000000001E-4</v>
      </c>
      <c r="O1119" s="8">
        <f>(I1119 - MAX(I1082:I1119)) / MAX(I1082:I1119)</f>
        <v>-1.0383965225790923E-2</v>
      </c>
      <c r="P1119" s="15">
        <v>-4.7199999999999999E-2</v>
      </c>
      <c r="Q1119">
        <f t="shared" si="237"/>
        <v>0.36650427781846562</v>
      </c>
      <c r="R1119">
        <f t="shared" si="238"/>
        <v>2.7254217602402202E-2</v>
      </c>
      <c r="S1119" s="15">
        <f t="shared" si="239"/>
        <v>2.9583004546134318E-2</v>
      </c>
    </row>
    <row r="1120" spans="1:19" x14ac:dyDescent="0.3">
      <c r="A1120" s="2">
        <v>43160</v>
      </c>
      <c r="B1120">
        <v>2018</v>
      </c>
      <c r="C1120">
        <v>3</v>
      </c>
      <c r="D1120" t="s">
        <v>55</v>
      </c>
      <c r="E1120" t="s">
        <v>30</v>
      </c>
      <c r="F1120" t="s">
        <v>23</v>
      </c>
      <c r="G1120" t="s">
        <v>33</v>
      </c>
      <c r="H1120" t="s">
        <v>12</v>
      </c>
      <c r="I1120">
        <v>119.62</v>
      </c>
      <c r="J1120" s="8">
        <f t="shared" si="240"/>
        <v>-2.7005043110460331E-2</v>
      </c>
      <c r="K1120" s="8">
        <f t="shared" si="241"/>
        <v>0.8248665141113658</v>
      </c>
      <c r="L1120" s="6">
        <f t="shared" si="235"/>
        <v>-2.7446043110460332E-2</v>
      </c>
      <c r="M1120">
        <f t="shared" si="236"/>
        <v>0.75559557931145049</v>
      </c>
      <c r="N1120" s="15">
        <v>4.4099999999999999E-4</v>
      </c>
      <c r="O1120" s="8">
        <f>(I1120 - MAX(I1082:I1120)) / MAX(I1082:I1120)</f>
        <v>-3.7108588907671249E-2</v>
      </c>
      <c r="P1120" s="15">
        <v>-2.2499999999999999E-2</v>
      </c>
      <c r="Q1120">
        <f t="shared" si="237"/>
        <v>0.71076087775497421</v>
      </c>
      <c r="R1120">
        <f t="shared" si="238"/>
        <v>2.761493304803702E-2</v>
      </c>
      <c r="S1120" s="15">
        <f t="shared" si="239"/>
        <v>3.3416948468778934E-2</v>
      </c>
    </row>
    <row r="1121" spans="1:19" x14ac:dyDescent="0.3">
      <c r="A1121" s="2">
        <v>43191</v>
      </c>
      <c r="B1121">
        <v>2018</v>
      </c>
      <c r="C1121">
        <v>4</v>
      </c>
      <c r="D1121" t="s">
        <v>55</v>
      </c>
      <c r="E1121" t="s">
        <v>30</v>
      </c>
      <c r="F1121" t="s">
        <v>23</v>
      </c>
      <c r="G1121" t="s">
        <v>33</v>
      </c>
      <c r="H1121" t="s">
        <v>12</v>
      </c>
      <c r="I1121">
        <v>126.88</v>
      </c>
      <c r="J1121" s="8">
        <f t="shared" si="240"/>
        <v>6.0692191941146889E-2</v>
      </c>
      <c r="K1121" s="8">
        <f t="shared" si="241"/>
        <v>0.93562166285278447</v>
      </c>
      <c r="L1121" s="6">
        <f t="shared" si="235"/>
        <v>6.0292191941146892E-2</v>
      </c>
      <c r="M1121">
        <f t="shared" si="236"/>
        <v>0.80414125525755675</v>
      </c>
      <c r="N1121" s="15">
        <v>4.0000000000000002E-4</v>
      </c>
      <c r="O1121" s="8">
        <f>(I1121 - MAX(I1082:I1121)) / MAX(I1082:I1121)</f>
        <v>0</v>
      </c>
      <c r="P1121" s="15">
        <v>5.21E-2</v>
      </c>
      <c r="Q1121">
        <f t="shared" si="237"/>
        <v>0.71179093063857235</v>
      </c>
      <c r="R1121">
        <f t="shared" si="238"/>
        <v>2.8373506856860298E-2</v>
      </c>
      <c r="S1121" s="15">
        <f t="shared" si="239"/>
        <v>3.4926850332556721E-2</v>
      </c>
    </row>
    <row r="1122" spans="1:19" x14ac:dyDescent="0.3">
      <c r="A1122" s="2">
        <v>43221</v>
      </c>
      <c r="B1122">
        <v>2018</v>
      </c>
      <c r="C1122">
        <v>5</v>
      </c>
      <c r="D1122" t="s">
        <v>55</v>
      </c>
      <c r="E1122" t="s">
        <v>30</v>
      </c>
      <c r="F1122" t="s">
        <v>23</v>
      </c>
      <c r="G1122" t="s">
        <v>33</v>
      </c>
      <c r="H1122" t="s">
        <v>12</v>
      </c>
      <c r="I1122">
        <v>130.72</v>
      </c>
      <c r="J1122" s="8">
        <f t="shared" si="240"/>
        <v>3.0264817150063079E-2</v>
      </c>
      <c r="K1122" s="8">
        <f t="shared" si="241"/>
        <v>0.99420289855072497</v>
      </c>
      <c r="L1122" s="6">
        <f t="shared" si="235"/>
        <v>2.9889817150063079E-2</v>
      </c>
      <c r="M1122">
        <f t="shared" si="236"/>
        <v>0.77863285823475814</v>
      </c>
      <c r="N1122" s="15">
        <v>3.7500000000000001E-4</v>
      </c>
      <c r="O1122" s="8">
        <f>(I1122 - MAX(I1082:I1122)) / MAX(I1082:I1122)</f>
        <v>0</v>
      </c>
      <c r="P1122" s="15">
        <v>-3.6700000000000003E-2</v>
      </c>
      <c r="Q1122">
        <f t="shared" si="237"/>
        <v>0.63482843487679919</v>
      </c>
      <c r="R1122">
        <f t="shared" si="238"/>
        <v>2.9065759218595128E-2</v>
      </c>
      <c r="S1122" s="15">
        <f t="shared" si="239"/>
        <v>3.4595210800689613E-2</v>
      </c>
    </row>
    <row r="1123" spans="1:19" x14ac:dyDescent="0.3">
      <c r="A1123" s="2">
        <v>43252</v>
      </c>
      <c r="B1123">
        <v>2018</v>
      </c>
      <c r="C1123">
        <v>6</v>
      </c>
      <c r="D1123" t="s">
        <v>55</v>
      </c>
      <c r="E1123" t="s">
        <v>30</v>
      </c>
      <c r="F1123" t="s">
        <v>23</v>
      </c>
      <c r="G1123" t="s">
        <v>33</v>
      </c>
      <c r="H1123" t="s">
        <v>12</v>
      </c>
      <c r="I1123">
        <v>132.44999999999999</v>
      </c>
      <c r="J1123" s="8">
        <f t="shared" si="240"/>
        <v>1.3234394124846923E-2</v>
      </c>
      <c r="K1123" s="8">
        <f t="shared" si="241"/>
        <v>1.0205949656750573</v>
      </c>
      <c r="L1123" s="6">
        <f t="shared" si="235"/>
        <v>1.2961394124846922E-2</v>
      </c>
      <c r="M1123">
        <f t="shared" si="236"/>
        <v>0.90675844254309446</v>
      </c>
      <c r="N1123" s="15">
        <v>2.7300000000000002E-4</v>
      </c>
      <c r="O1123" s="8">
        <f>(I1123 - MAX(I1082:I1123)) / MAX(I1082:I1123)</f>
        <v>0</v>
      </c>
      <c r="P1123" s="15">
        <v>-3.2000000000000002E-3</v>
      </c>
      <c r="Q1123">
        <f t="shared" si="237"/>
        <v>0.57324339633222798</v>
      </c>
      <c r="R1123">
        <f t="shared" si="238"/>
        <v>2.9867238984488485E-2</v>
      </c>
      <c r="S1123" s="15">
        <f t="shared" si="239"/>
        <v>3.231660957183425E-2</v>
      </c>
    </row>
    <row r="1124" spans="1:19" x14ac:dyDescent="0.3">
      <c r="A1124" s="2">
        <v>43282</v>
      </c>
      <c r="B1124">
        <v>2018</v>
      </c>
      <c r="C1124">
        <v>7</v>
      </c>
      <c r="D1124" t="s">
        <v>55</v>
      </c>
      <c r="E1124" t="s">
        <v>30</v>
      </c>
      <c r="F1124" t="s">
        <v>23</v>
      </c>
      <c r="G1124" t="s">
        <v>33</v>
      </c>
      <c r="H1124" t="s">
        <v>12</v>
      </c>
      <c r="I1124">
        <v>136.74</v>
      </c>
      <c r="J1124" s="8">
        <f t="shared" si="240"/>
        <v>3.2389580973952593E-2</v>
      </c>
      <c r="K1124" s="8">
        <f t="shared" si="241"/>
        <v>1.0860411899313505</v>
      </c>
      <c r="L1124" s="6">
        <f t="shared" si="235"/>
        <v>3.2160580973952593E-2</v>
      </c>
      <c r="M1124">
        <f t="shared" si="236"/>
        <v>0.87409880812239482</v>
      </c>
      <c r="N1124" s="15">
        <v>2.2900000000000001E-4</v>
      </c>
      <c r="O1124" s="8">
        <f>(I1124 - MAX(I1082:I1124)) / MAX(I1082:I1124)</f>
        <v>0</v>
      </c>
      <c r="P1124" s="15">
        <v>3.8300000000000001E-2</v>
      </c>
      <c r="Q1124">
        <f t="shared" si="237"/>
        <v>0.51984052463049091</v>
      </c>
      <c r="R1124">
        <f t="shared" si="238"/>
        <v>2.5819894321159893E-2</v>
      </c>
      <c r="S1124" s="15">
        <f t="shared" si="239"/>
        <v>3.0750458849956083E-2</v>
      </c>
    </row>
    <row r="1125" spans="1:19" x14ac:dyDescent="0.3">
      <c r="A1125" s="2">
        <v>43313</v>
      </c>
      <c r="B1125">
        <v>2018</v>
      </c>
      <c r="C1125">
        <v>8</v>
      </c>
      <c r="D1125" t="s">
        <v>55</v>
      </c>
      <c r="E1125" t="s">
        <v>30</v>
      </c>
      <c r="F1125" t="s">
        <v>23</v>
      </c>
      <c r="G1125" t="s">
        <v>33</v>
      </c>
      <c r="H1125" t="s">
        <v>12</v>
      </c>
      <c r="I1125">
        <v>146.88999999999999</v>
      </c>
      <c r="J1125" s="8">
        <f t="shared" si="240"/>
        <v>7.4228462776071202E-2</v>
      </c>
      <c r="K1125" s="8">
        <f t="shared" si="241"/>
        <v>1.2408848207475209</v>
      </c>
      <c r="L1125" s="6">
        <f t="shared" si="235"/>
        <v>7.3986462776071196E-2</v>
      </c>
      <c r="M1125">
        <f t="shared" ref="M1125:M1156" si="242">(AVERAGE(J1114:J1125)-AVERAGE(N1114:N1125))/STDEV(J1114:J1125)</f>
        <v>0.88780839214842355</v>
      </c>
      <c r="N1125" s="15">
        <v>2.42E-4</v>
      </c>
      <c r="O1125" s="8">
        <f>(I1125 - MAX(I1082:I1125)) / MAX(I1082:I1125)</f>
        <v>0</v>
      </c>
      <c r="P1125" s="15">
        <v>-3.7599999999999988E-2</v>
      </c>
      <c r="Q1125">
        <f t="shared" ref="Q1125:Q1156" si="243" xml:space="preserve"> _xlfn.COVARIANCE.P(J1114:J1125, P1114:P1125) / _xlfn.VAR.P(P1114:P1125)</f>
        <v>0.35427330020483466</v>
      </c>
      <c r="R1125">
        <f t="shared" ref="R1125:R1156" si="244">AVERAGE(J1114:J1125)-(AVERAGE(N1114:N1125)+Q1125*(AVERAGE(P1114:P1125)-AVERAGE(N1114:N1125)))</f>
        <v>2.9901714358796901E-2</v>
      </c>
      <c r="S1125" s="15">
        <f t="shared" ref="S1125:S1156" si="245">STDEV(J1114:J1125)</f>
        <v>3.3513868631365885E-2</v>
      </c>
    </row>
    <row r="1126" spans="1:19" x14ac:dyDescent="0.3">
      <c r="A1126" s="2">
        <v>43344</v>
      </c>
      <c r="B1126">
        <v>2018</v>
      </c>
      <c r="C1126">
        <v>9</v>
      </c>
      <c r="D1126" t="s">
        <v>55</v>
      </c>
      <c r="E1126" t="s">
        <v>30</v>
      </c>
      <c r="F1126" t="s">
        <v>23</v>
      </c>
      <c r="G1126" t="s">
        <v>33</v>
      </c>
      <c r="H1126" t="s">
        <v>12</v>
      </c>
      <c r="I1126">
        <v>150.09</v>
      </c>
      <c r="J1126" s="8">
        <f t="shared" si="240"/>
        <v>2.1785009190550871E-2</v>
      </c>
      <c r="K1126" s="8">
        <f t="shared" si="241"/>
        <v>1.2897025171624716</v>
      </c>
      <c r="L1126" s="6">
        <f t="shared" si="235"/>
        <v>2.1476009190550871E-2</v>
      </c>
      <c r="M1126">
        <f t="shared" si="242"/>
        <v>0.90482737092963406</v>
      </c>
      <c r="N1126" s="15">
        <v>3.0899999999999998E-4</v>
      </c>
      <c r="O1126" s="8">
        <f>(I1126 - MAX(I1082:I1126)) / MAX(I1082:I1126)</f>
        <v>0</v>
      </c>
      <c r="P1126" s="15">
        <v>1.9E-3</v>
      </c>
      <c r="Q1126">
        <f t="shared" si="243"/>
        <v>0.49692257355005626</v>
      </c>
      <c r="R1126">
        <f t="shared" si="244"/>
        <v>3.2412036634744734E-2</v>
      </c>
      <c r="S1126" s="15">
        <f t="shared" si="245"/>
        <v>3.3357798394030615E-2</v>
      </c>
    </row>
    <row r="1127" spans="1:19" x14ac:dyDescent="0.3">
      <c r="A1127" s="2">
        <v>43374</v>
      </c>
      <c r="B1127">
        <v>2018</v>
      </c>
      <c r="C1127">
        <v>10</v>
      </c>
      <c r="D1127" t="s">
        <v>55</v>
      </c>
      <c r="E1127" t="s">
        <v>30</v>
      </c>
      <c r="F1127" t="s">
        <v>23</v>
      </c>
      <c r="G1127" t="s">
        <v>33</v>
      </c>
      <c r="H1127" t="s">
        <v>12</v>
      </c>
      <c r="I1127">
        <v>137.85</v>
      </c>
      <c r="J1127" s="8">
        <f t="shared" si="240"/>
        <v>-8.1551069358385034E-2</v>
      </c>
      <c r="K1127" s="8">
        <f t="shared" si="241"/>
        <v>1.1029748283752858</v>
      </c>
      <c r="L1127" s="6">
        <f t="shared" si="235"/>
        <v>-8.1884069358385034E-2</v>
      </c>
      <c r="M1127">
        <f t="shared" si="242"/>
        <v>0.42698669275295753</v>
      </c>
      <c r="N1127" s="15">
        <v>3.3300000000000002E-4</v>
      </c>
      <c r="O1127" s="8">
        <f>(I1127 - MAX(I1082:I1127)) / MAX(I1082:I1127)</f>
        <v>-8.1551069358385034E-2</v>
      </c>
      <c r="P1127" s="15">
        <v>-5.9299999999999999E-2</v>
      </c>
      <c r="Q1127">
        <f t="shared" si="243"/>
        <v>0.79017764731282458</v>
      </c>
      <c r="R1127">
        <f t="shared" si="244"/>
        <v>2.8313961075861427E-2</v>
      </c>
      <c r="S1127" s="15">
        <f t="shared" si="245"/>
        <v>4.5977742419645432E-2</v>
      </c>
    </row>
    <row r="1128" spans="1:19" x14ac:dyDescent="0.3">
      <c r="A1128" s="2">
        <v>43405</v>
      </c>
      <c r="B1128">
        <v>2018</v>
      </c>
      <c r="C1128">
        <v>11</v>
      </c>
      <c r="D1128" t="s">
        <v>55</v>
      </c>
      <c r="E1128" t="s">
        <v>30</v>
      </c>
      <c r="F1128" t="s">
        <v>23</v>
      </c>
      <c r="G1128" t="s">
        <v>33</v>
      </c>
      <c r="H1128" t="s">
        <v>12</v>
      </c>
      <c r="I1128">
        <v>141.71</v>
      </c>
      <c r="J1128" s="8">
        <f t="shared" si="240"/>
        <v>2.8001450852375872E-2</v>
      </c>
      <c r="K1128" s="8">
        <f t="shared" si="241"/>
        <v>1.1618611746758201</v>
      </c>
      <c r="L1128" s="6">
        <f t="shared" si="235"/>
        <v>2.7739450852375874E-2</v>
      </c>
      <c r="M1128">
        <f t="shared" si="242"/>
        <v>0.43426082243053776</v>
      </c>
      <c r="N1128" s="15">
        <v>2.6200000000000003E-4</v>
      </c>
      <c r="O1128" s="8">
        <f>(I1128 - MAX(I1082:I1128)) / MAX(I1082:I1128)</f>
        <v>-5.5833166766606671E-2</v>
      </c>
      <c r="P1128" s="15">
        <v>-7.6E-3</v>
      </c>
      <c r="Q1128">
        <f t="shared" si="243"/>
        <v>0.80894039018126096</v>
      </c>
      <c r="R1128">
        <f t="shared" si="244"/>
        <v>2.768941314027519E-2</v>
      </c>
      <c r="S1128" s="15">
        <f t="shared" si="245"/>
        <v>4.602600192758334E-2</v>
      </c>
    </row>
    <row r="1129" spans="1:19" x14ac:dyDescent="0.3">
      <c r="A1129" s="2">
        <v>43435</v>
      </c>
      <c r="B1129">
        <v>2018</v>
      </c>
      <c r="C1129">
        <v>12</v>
      </c>
      <c r="D1129" t="s">
        <v>55</v>
      </c>
      <c r="E1129" t="s">
        <v>30</v>
      </c>
      <c r="F1129" t="s">
        <v>23</v>
      </c>
      <c r="G1129" t="s">
        <v>33</v>
      </c>
      <c r="H1129" t="s">
        <v>12</v>
      </c>
      <c r="I1129">
        <v>131.94</v>
      </c>
      <c r="J1129" s="8">
        <f t="shared" si="240"/>
        <v>-6.8943617246489383E-2</v>
      </c>
      <c r="K1129" s="8">
        <f t="shared" si="241"/>
        <v>1.0128146453089246</v>
      </c>
      <c r="L1129" s="6">
        <f t="shared" si="235"/>
        <v>-6.9099617246489387E-2</v>
      </c>
      <c r="M1129">
        <f t="shared" si="242"/>
        <v>0.24986763832716283</v>
      </c>
      <c r="N1129" s="15">
        <v>1.56E-4</v>
      </c>
      <c r="O1129" s="8">
        <f>(I1129 - MAX(I1082:I1129)) / MAX(I1082:I1129)</f>
        <v>-0.12092744353387971</v>
      </c>
      <c r="P1129" s="15">
        <v>-5.8799999999999998E-2</v>
      </c>
      <c r="Q1129">
        <f t="shared" si="243"/>
        <v>0.95330046637013843</v>
      </c>
      <c r="R1129">
        <f t="shared" si="244"/>
        <v>2.5462042420268297E-2</v>
      </c>
      <c r="S1129" s="15">
        <f t="shared" si="245"/>
        <v>5.2792586128661077E-2</v>
      </c>
    </row>
    <row r="1130" spans="1:19" x14ac:dyDescent="0.3">
      <c r="A1130" s="2">
        <v>43466</v>
      </c>
      <c r="B1130">
        <v>2019</v>
      </c>
      <c r="C1130">
        <v>1</v>
      </c>
      <c r="D1130" t="s">
        <v>55</v>
      </c>
      <c r="E1130" t="s">
        <v>30</v>
      </c>
      <c r="F1130" t="s">
        <v>23</v>
      </c>
      <c r="G1130" t="s">
        <v>33</v>
      </c>
      <c r="H1130" t="s">
        <v>12</v>
      </c>
      <c r="I1130">
        <v>135.01</v>
      </c>
      <c r="J1130" s="8">
        <f t="shared" si="240"/>
        <v>2.326815219038952E-2</v>
      </c>
      <c r="K1130" s="8">
        <f t="shared" si="241"/>
        <v>1.0596491228070173</v>
      </c>
      <c r="L1130" s="6">
        <f t="shared" si="235"/>
        <v>2.315715219038952E-2</v>
      </c>
      <c r="M1130">
        <f t="shared" si="242"/>
        <v>0.16262607120312036</v>
      </c>
      <c r="N1130" s="15">
        <v>1.11E-4</v>
      </c>
      <c r="O1130" s="8">
        <f>(I1130 - MAX(I1082:I1130)) / MAX(I1082:I1130)</f>
        <v>-0.10047304950363123</v>
      </c>
      <c r="P1130" s="15">
        <v>5.79E-2</v>
      </c>
      <c r="Q1130">
        <f t="shared" si="243"/>
        <v>0.66969947411855313</v>
      </c>
      <c r="R1130">
        <f t="shared" si="244"/>
        <v>1.4744748649781168E-2</v>
      </c>
      <c r="S1130" s="15">
        <f t="shared" si="245"/>
        <v>4.7296826176878241E-2</v>
      </c>
    </row>
    <row r="1131" spans="1:19" x14ac:dyDescent="0.3">
      <c r="A1131" s="2">
        <v>43497</v>
      </c>
      <c r="B1131">
        <v>2019</v>
      </c>
      <c r="C1131">
        <v>2</v>
      </c>
      <c r="D1131" t="s">
        <v>55</v>
      </c>
      <c r="E1131" t="s">
        <v>30</v>
      </c>
      <c r="F1131" t="s">
        <v>23</v>
      </c>
      <c r="G1131" t="s">
        <v>33</v>
      </c>
      <c r="H1131" t="s">
        <v>12</v>
      </c>
      <c r="I1131">
        <v>148.12</v>
      </c>
      <c r="J1131" s="8">
        <f t="shared" si="240"/>
        <v>9.710391822827949E-2</v>
      </c>
      <c r="K1131" s="8">
        <f t="shared" si="241"/>
        <v>1.2596491228070175</v>
      </c>
      <c r="L1131" s="6">
        <f t="shared" si="235"/>
        <v>9.7057918228279486E-2</v>
      </c>
      <c r="M1131">
        <f t="shared" si="242"/>
        <v>0.31316991788384679</v>
      </c>
      <c r="N1131" s="15">
        <v>4.6E-5</v>
      </c>
      <c r="O1131" s="8">
        <f>(I1131 - MAX(I1082:I1131)) / MAX(I1082:I1131)</f>
        <v>-1.3125458058498227E-2</v>
      </c>
      <c r="P1131" s="15">
        <v>4.3899999999999988E-2</v>
      </c>
      <c r="Q1131">
        <f t="shared" si="243"/>
        <v>0.80905796077454573</v>
      </c>
      <c r="R1131">
        <f t="shared" si="244"/>
        <v>1.9035654701183173E-2</v>
      </c>
      <c r="S1131" s="15">
        <f t="shared" si="245"/>
        <v>5.3296745173182294E-2</v>
      </c>
    </row>
    <row r="1132" spans="1:19" x14ac:dyDescent="0.3">
      <c r="A1132" s="2">
        <v>43525</v>
      </c>
      <c r="B1132">
        <v>2019</v>
      </c>
      <c r="C1132">
        <v>3</v>
      </c>
      <c r="D1132" t="s">
        <v>55</v>
      </c>
      <c r="E1132" t="s">
        <v>30</v>
      </c>
      <c r="F1132" t="s">
        <v>23</v>
      </c>
      <c r="G1132" t="s">
        <v>33</v>
      </c>
      <c r="H1132" t="s">
        <v>12</v>
      </c>
      <c r="I1132">
        <v>156.19</v>
      </c>
      <c r="J1132" s="8">
        <f t="shared" si="240"/>
        <v>5.4482851741830901E-2</v>
      </c>
      <c r="K1132" s="8">
        <f t="shared" si="241"/>
        <v>1.3827612509534708</v>
      </c>
      <c r="L1132" s="6">
        <f t="shared" si="235"/>
        <v>5.4473851741830899E-2</v>
      </c>
      <c r="M1132">
        <f t="shared" si="242"/>
        <v>0.4490693426438841</v>
      </c>
      <c r="N1132" s="15">
        <v>9.0000000000000002E-6</v>
      </c>
      <c r="O1132" s="8">
        <f>(I1132 - MAX(I1082:I1132)) / MAX(I1082:I1132)</f>
        <v>0</v>
      </c>
      <c r="P1132" s="15">
        <v>1.6199999999999999E-2</v>
      </c>
      <c r="Q1132">
        <f t="shared" si="243"/>
        <v>0.79389514294511465</v>
      </c>
      <c r="R1132">
        <f t="shared" si="244"/>
        <v>2.3229477434758911E-2</v>
      </c>
      <c r="S1132" s="15">
        <f t="shared" si="245"/>
        <v>5.2369629766441363E-2</v>
      </c>
    </row>
    <row r="1133" spans="1:19" x14ac:dyDescent="0.3">
      <c r="A1133" s="2">
        <v>43556</v>
      </c>
      <c r="B1133">
        <v>2019</v>
      </c>
      <c r="C1133">
        <v>4</v>
      </c>
      <c r="D1133" t="s">
        <v>55</v>
      </c>
      <c r="E1133" t="s">
        <v>30</v>
      </c>
      <c r="F1133" t="s">
        <v>23</v>
      </c>
      <c r="G1133" t="s">
        <v>33</v>
      </c>
      <c r="H1133" t="s">
        <v>12</v>
      </c>
      <c r="I1133">
        <v>164.43</v>
      </c>
      <c r="J1133" s="8">
        <f t="shared" si="240"/>
        <v>5.2756258403226897E-2</v>
      </c>
      <c r="K1133" s="8">
        <f t="shared" si="241"/>
        <v>1.5084668192219683</v>
      </c>
      <c r="L1133" s="6">
        <f t="shared" si="235"/>
        <v>5.2789258403226895E-2</v>
      </c>
      <c r="M1133">
        <f t="shared" si="242"/>
        <v>0.44101148674526902</v>
      </c>
      <c r="N1133" s="15">
        <v>-3.3000000000000003E-5</v>
      </c>
      <c r="O1133" s="8">
        <f>(I1133 - MAX(I1082:I1133)) / MAX(I1082:I1133)</f>
        <v>0</v>
      </c>
      <c r="P1133" s="15">
        <v>4.8599999999999997E-2</v>
      </c>
      <c r="Q1133">
        <f t="shared" si="243"/>
        <v>0.78162537451966474</v>
      </c>
      <c r="R1133">
        <f t="shared" si="244"/>
        <v>2.2808456295360966E-2</v>
      </c>
      <c r="S1133" s="15">
        <f t="shared" si="245"/>
        <v>5.1908740339565891E-2</v>
      </c>
    </row>
    <row r="1134" spans="1:19" x14ac:dyDescent="0.3">
      <c r="A1134" s="2">
        <v>43586</v>
      </c>
      <c r="B1134">
        <v>2019</v>
      </c>
      <c r="C1134">
        <v>5</v>
      </c>
      <c r="D1134" t="s">
        <v>55</v>
      </c>
      <c r="E1134" t="s">
        <v>30</v>
      </c>
      <c r="F1134" t="s">
        <v>23</v>
      </c>
      <c r="G1134" t="s">
        <v>33</v>
      </c>
      <c r="H1134" t="s">
        <v>12</v>
      </c>
      <c r="I1134">
        <v>161.33000000000001</v>
      </c>
      <c r="J1134" s="8">
        <f t="shared" si="240"/>
        <v>-1.8853007358754451E-2</v>
      </c>
      <c r="K1134" s="8">
        <f t="shared" si="241"/>
        <v>1.4611746758199851</v>
      </c>
      <c r="L1134" s="6">
        <f t="shared" si="235"/>
        <v>-1.874100735875445E-2</v>
      </c>
      <c r="M1134">
        <f t="shared" si="242"/>
        <v>0.35405589392386738</v>
      </c>
      <c r="N1134" s="15">
        <v>-1.12E-4</v>
      </c>
      <c r="O1134" s="8">
        <f>(I1134 - MAX(I1082:I1134)) / MAX(I1082:I1134)</f>
        <v>-1.8853007358754451E-2</v>
      </c>
      <c r="P1134" s="15">
        <v>-6.6600000000000006E-2</v>
      </c>
      <c r="Q1134">
        <f t="shared" si="243"/>
        <v>0.80769455550672076</v>
      </c>
      <c r="R1134">
        <f t="shared" si="244"/>
        <v>2.0732816157626826E-2</v>
      </c>
      <c r="S1134" s="15">
        <f t="shared" si="245"/>
        <v>5.3211321620334519E-2</v>
      </c>
    </row>
    <row r="1135" spans="1:19" x14ac:dyDescent="0.3">
      <c r="A1135" s="2">
        <v>43617</v>
      </c>
      <c r="B1135">
        <v>2019</v>
      </c>
      <c r="C1135">
        <v>6</v>
      </c>
      <c r="D1135" t="s">
        <v>55</v>
      </c>
      <c r="E1135" t="s">
        <v>30</v>
      </c>
      <c r="F1135" t="s">
        <v>23</v>
      </c>
      <c r="G1135" t="s">
        <v>33</v>
      </c>
      <c r="H1135" t="s">
        <v>12</v>
      </c>
      <c r="I1135">
        <v>173.55</v>
      </c>
      <c r="J1135" s="8">
        <f t="shared" si="240"/>
        <v>7.5745366639806591E-2</v>
      </c>
      <c r="K1135" s="8">
        <f t="shared" si="241"/>
        <v>1.6475972540045771</v>
      </c>
      <c r="L1135" s="6">
        <f t="shared" si="235"/>
        <v>7.600836663980659E-2</v>
      </c>
      <c r="M1135">
        <f t="shared" si="242"/>
        <v>0.43332005838271909</v>
      </c>
      <c r="N1135" s="15">
        <v>-2.63E-4</v>
      </c>
      <c r="O1135" s="8">
        <f>(I1135 - MAX(I1082:I1135)) / MAX(I1082:I1135)</f>
        <v>0</v>
      </c>
      <c r="P1135" s="15">
        <v>5.8899999999999987E-2</v>
      </c>
      <c r="Q1135">
        <f t="shared" si="243"/>
        <v>0.82267559400013035</v>
      </c>
      <c r="R1135">
        <f t="shared" si="244"/>
        <v>2.1727749967359718E-2</v>
      </c>
      <c r="S1135" s="15">
        <f t="shared" si="245"/>
        <v>5.560254124706232E-2</v>
      </c>
    </row>
    <row r="1136" spans="1:19" x14ac:dyDescent="0.3">
      <c r="A1136" s="2">
        <v>43647</v>
      </c>
      <c r="B1136">
        <v>2019</v>
      </c>
      <c r="C1136">
        <v>7</v>
      </c>
      <c r="D1136" t="s">
        <v>55</v>
      </c>
      <c r="E1136" t="s">
        <v>30</v>
      </c>
      <c r="F1136" t="s">
        <v>23</v>
      </c>
      <c r="G1136" t="s">
        <v>33</v>
      </c>
      <c r="H1136" t="s">
        <v>12</v>
      </c>
      <c r="I1136">
        <v>178</v>
      </c>
      <c r="J1136" s="8">
        <f t="shared" si="240"/>
        <v>2.5641025641025574E-2</v>
      </c>
      <c r="K1136" s="8">
        <f t="shared" si="241"/>
        <v>1.7154843630816172</v>
      </c>
      <c r="L1136" s="6">
        <f t="shared" si="235"/>
        <v>2.5965025641025576E-2</v>
      </c>
      <c r="M1136">
        <f t="shared" si="242"/>
        <v>0.42446398242393524</v>
      </c>
      <c r="N1136" s="15">
        <v>-3.2400000000000001E-4</v>
      </c>
      <c r="O1136" s="8">
        <f>(I1136 - MAX(I1082:I1136)) / MAX(I1082:I1136)</f>
        <v>0</v>
      </c>
      <c r="P1136" s="15">
        <v>-2E-3</v>
      </c>
      <c r="Q1136">
        <f t="shared" si="243"/>
        <v>0.85556815255636109</v>
      </c>
      <c r="R1136">
        <f t="shared" si="244"/>
        <v>2.3950713045559426E-2</v>
      </c>
      <c r="S1136" s="15">
        <f t="shared" si="245"/>
        <v>5.554629160057363E-2</v>
      </c>
    </row>
    <row r="1137" spans="1:19" x14ac:dyDescent="0.3">
      <c r="A1137" s="2">
        <v>43678</v>
      </c>
      <c r="B1137">
        <v>2019</v>
      </c>
      <c r="C1137">
        <v>8</v>
      </c>
      <c r="D1137" t="s">
        <v>55</v>
      </c>
      <c r="E1137" t="s">
        <v>30</v>
      </c>
      <c r="F1137" t="s">
        <v>23</v>
      </c>
      <c r="G1137" t="s">
        <v>33</v>
      </c>
      <c r="H1137" t="s">
        <v>12</v>
      </c>
      <c r="I1137">
        <v>180.82</v>
      </c>
      <c r="J1137" s="8">
        <f t="shared" si="240"/>
        <v>1.5842696629213445E-2</v>
      </c>
      <c r="K1137" s="8">
        <f t="shared" si="241"/>
        <v>1.758504958047292</v>
      </c>
      <c r="L1137" s="6">
        <f t="shared" si="235"/>
        <v>1.6383696629213445E-2</v>
      </c>
      <c r="M1137">
        <f t="shared" si="242"/>
        <v>0.35281813278018948</v>
      </c>
      <c r="N1137" s="15">
        <v>-5.4100000000000003E-4</v>
      </c>
      <c r="O1137" s="8">
        <f>(I1137 - MAX(I1082:I1137)) / MAX(I1082:I1137)</f>
        <v>0</v>
      </c>
      <c r="P1137" s="15">
        <v>-1.1599999999999999E-2</v>
      </c>
      <c r="Q1137">
        <f t="shared" si="243"/>
        <v>0.99604730800541164</v>
      </c>
      <c r="R1137">
        <f t="shared" si="244"/>
        <v>1.6988683683956476E-2</v>
      </c>
      <c r="S1137" s="15">
        <f t="shared" si="245"/>
        <v>5.3220534561133105E-2</v>
      </c>
    </row>
    <row r="1138" spans="1:19" x14ac:dyDescent="0.3">
      <c r="A1138" s="2">
        <v>43709</v>
      </c>
      <c r="B1138">
        <v>2019</v>
      </c>
      <c r="C1138">
        <v>9</v>
      </c>
      <c r="D1138" t="s">
        <v>55</v>
      </c>
      <c r="E1138" t="s">
        <v>30</v>
      </c>
      <c r="F1138" t="s">
        <v>23</v>
      </c>
      <c r="G1138" t="s">
        <v>33</v>
      </c>
      <c r="H1138" t="s">
        <v>12</v>
      </c>
      <c r="I1138">
        <v>172.01</v>
      </c>
      <c r="J1138" s="8">
        <f t="shared" si="240"/>
        <v>-4.8722486450613882E-2</v>
      </c>
      <c r="K1138" s="8">
        <f t="shared" si="241"/>
        <v>1.6241037376048819</v>
      </c>
      <c r="L1138" s="6">
        <f t="shared" si="235"/>
        <v>-4.8226486450613879E-2</v>
      </c>
      <c r="M1138">
        <f t="shared" si="242"/>
        <v>0.22896582657113579</v>
      </c>
      <c r="N1138" s="15">
        <v>-4.9600000000000002E-4</v>
      </c>
      <c r="O1138" s="8">
        <f>(I1138 - MAX(I1082:I1138)) / MAX(I1082:I1138)</f>
        <v>-4.8722486450613882E-2</v>
      </c>
      <c r="P1138" s="15">
        <v>4.1599999999999998E-2</v>
      </c>
      <c r="Q1138">
        <f t="shared" si="243"/>
        <v>0.83613066686919058</v>
      </c>
      <c r="R1138">
        <f t="shared" si="244"/>
        <v>8.6449966476115463E-3</v>
      </c>
      <c r="S1138" s="15">
        <f t="shared" si="245"/>
        <v>5.6640017072429785E-2</v>
      </c>
    </row>
    <row r="1139" spans="1:19" x14ac:dyDescent="0.3">
      <c r="A1139" s="2">
        <v>43739</v>
      </c>
      <c r="B1139">
        <v>2019</v>
      </c>
      <c r="C1139">
        <v>10</v>
      </c>
      <c r="D1139" t="s">
        <v>55</v>
      </c>
      <c r="E1139" t="s">
        <v>30</v>
      </c>
      <c r="F1139" t="s">
        <v>23</v>
      </c>
      <c r="G1139" t="s">
        <v>33</v>
      </c>
      <c r="H1139" t="s">
        <v>12</v>
      </c>
      <c r="I1139">
        <v>178.86</v>
      </c>
      <c r="J1139" s="8">
        <f t="shared" si="240"/>
        <v>3.9823266089180999E-2</v>
      </c>
      <c r="K1139" s="8">
        <f t="shared" si="241"/>
        <v>1.7286041189931356</v>
      </c>
      <c r="L1139" s="6">
        <f t="shared" si="235"/>
        <v>4.0214266089181001E-2</v>
      </c>
      <c r="M1139">
        <f t="shared" si="242"/>
        <v>0.4772679374666608</v>
      </c>
      <c r="N1139" s="15">
        <v>-3.9100000000000002E-4</v>
      </c>
      <c r="O1139" s="8">
        <f>(I1139 - MAX(I1082:I1139)) / MAX(I1082:I1139)</f>
        <v>-1.0839508903882201E-2</v>
      </c>
      <c r="P1139" s="15">
        <v>9.7999999999999997E-3</v>
      </c>
      <c r="Q1139">
        <f t="shared" si="243"/>
        <v>0.69157733192429682</v>
      </c>
      <c r="R1139">
        <f t="shared" si="244"/>
        <v>1.5543285261218584E-2</v>
      </c>
      <c r="S1139" s="15">
        <f t="shared" si="245"/>
        <v>4.8491607745818816E-2</v>
      </c>
    </row>
    <row r="1140" spans="1:19" x14ac:dyDescent="0.3">
      <c r="A1140" s="2">
        <v>43770</v>
      </c>
      <c r="B1140">
        <v>2019</v>
      </c>
      <c r="C1140">
        <v>11</v>
      </c>
      <c r="D1140" t="s">
        <v>55</v>
      </c>
      <c r="E1140" t="s">
        <v>30</v>
      </c>
      <c r="F1140" t="s">
        <v>23</v>
      </c>
      <c r="G1140" t="s">
        <v>33</v>
      </c>
      <c r="H1140" t="s">
        <v>12</v>
      </c>
      <c r="I1140">
        <v>184.51</v>
      </c>
      <c r="J1140" s="8">
        <f t="shared" si="240"/>
        <v>3.1588952253158768E-2</v>
      </c>
      <c r="K1140" s="8">
        <f t="shared" si="241"/>
        <v>1.814797864225782</v>
      </c>
      <c r="L1140" s="6">
        <f t="shared" si="235"/>
        <v>3.1882952253158771E-2</v>
      </c>
      <c r="M1140">
        <f t="shared" si="242"/>
        <v>0.48394353829738068</v>
      </c>
      <c r="N1140" s="15">
        <v>-2.9399999999999999E-4</v>
      </c>
      <c r="O1140" s="8">
        <f>(I1140 - MAX(I1082:I1140)) / MAX(I1082:I1140)</f>
        <v>0</v>
      </c>
      <c r="P1140" s="15">
        <v>2.75E-2</v>
      </c>
      <c r="Q1140">
        <f t="shared" si="243"/>
        <v>0.7088005848606358</v>
      </c>
      <c r="R1140">
        <f t="shared" si="244"/>
        <v>1.3593216431448533E-2</v>
      </c>
      <c r="S1140" s="15">
        <f t="shared" si="245"/>
        <v>4.8536202134915454E-2</v>
      </c>
    </row>
    <row r="1141" spans="1:19" x14ac:dyDescent="0.3">
      <c r="A1141" s="2">
        <v>43800</v>
      </c>
      <c r="B1141">
        <v>2019</v>
      </c>
      <c r="C1141">
        <v>12</v>
      </c>
      <c r="D1141" t="s">
        <v>55</v>
      </c>
      <c r="E1141" t="s">
        <v>30</v>
      </c>
      <c r="F1141" t="s">
        <v>23</v>
      </c>
      <c r="G1141" t="s">
        <v>33</v>
      </c>
      <c r="H1141" t="s">
        <v>12</v>
      </c>
      <c r="I1141">
        <v>187.9</v>
      </c>
      <c r="J1141" s="8">
        <f t="shared" si="240"/>
        <v>1.8372987913934286E-2</v>
      </c>
      <c r="K1141" s="8">
        <f t="shared" si="241"/>
        <v>1.8665141113653703</v>
      </c>
      <c r="L1141" s="6">
        <f t="shared" si="235"/>
        <v>1.8622987913934286E-2</v>
      </c>
      <c r="M1141">
        <f t="shared" si="242"/>
        <v>0.78829412043257441</v>
      </c>
      <c r="N1141" s="15">
        <v>-2.5000000000000001E-4</v>
      </c>
      <c r="O1141" s="8">
        <f>(I1141 - MAX(I1082:I1141)) / MAX(I1082:I1141)</f>
        <v>0</v>
      </c>
      <c r="P1141" s="15">
        <v>1.21E-2</v>
      </c>
      <c r="Q1141">
        <f t="shared" si="243"/>
        <v>0.48242095941550783</v>
      </c>
      <c r="R1141">
        <f t="shared" si="244"/>
        <v>2.1197293734649757E-2</v>
      </c>
      <c r="S1141" s="15">
        <f t="shared" si="245"/>
        <v>3.9070440455002978E-2</v>
      </c>
    </row>
    <row r="1142" spans="1:19" x14ac:dyDescent="0.3">
      <c r="A1142" s="2">
        <v>43831</v>
      </c>
      <c r="B1142">
        <v>2020</v>
      </c>
      <c r="C1142">
        <v>1</v>
      </c>
      <c r="D1142" t="s">
        <v>55</v>
      </c>
      <c r="E1142" t="s">
        <v>30</v>
      </c>
      <c r="F1142" t="s">
        <v>23</v>
      </c>
      <c r="G1142" t="s">
        <v>33</v>
      </c>
      <c r="H1142" t="s">
        <v>12</v>
      </c>
      <c r="I1142">
        <v>198.97</v>
      </c>
      <c r="J1142" s="8">
        <f t="shared" si="240"/>
        <v>5.8914316125598686E-2</v>
      </c>
      <c r="K1142" s="8">
        <f t="shared" si="241"/>
        <v>2.0353928299008395</v>
      </c>
      <c r="L1142" s="6">
        <f t="shared" si="235"/>
        <v>5.9175316125598683E-2</v>
      </c>
      <c r="M1142">
        <f t="shared" si="242"/>
        <v>0.84901548606270072</v>
      </c>
      <c r="N1142" s="15">
        <v>-2.61E-4</v>
      </c>
      <c r="O1142" s="8">
        <f>(I1142 - MAX(I1082:I1142)) / MAX(I1082:I1142)</f>
        <v>0</v>
      </c>
      <c r="P1142" s="15">
        <v>-2.87E-2</v>
      </c>
      <c r="Q1142">
        <f t="shared" si="243"/>
        <v>0.41534882133057111</v>
      </c>
      <c r="R1142">
        <f t="shared" si="244"/>
        <v>2.8518313519385732E-2</v>
      </c>
      <c r="S1142" s="15">
        <f t="shared" si="245"/>
        <v>3.981142006184922E-2</v>
      </c>
    </row>
    <row r="1143" spans="1:19" x14ac:dyDescent="0.3">
      <c r="A1143" s="2">
        <v>43862</v>
      </c>
      <c r="B1143">
        <v>2020</v>
      </c>
      <c r="C1143">
        <v>2</v>
      </c>
      <c r="D1143" t="s">
        <v>55</v>
      </c>
      <c r="E1143" t="s">
        <v>30</v>
      </c>
      <c r="F1143" t="s">
        <v>23</v>
      </c>
      <c r="G1143" t="s">
        <v>33</v>
      </c>
      <c r="H1143" t="s">
        <v>12</v>
      </c>
      <c r="I1143">
        <v>181.76</v>
      </c>
      <c r="J1143" s="8">
        <f t="shared" si="240"/>
        <v>-8.649545157561446E-2</v>
      </c>
      <c r="K1143" s="8">
        <f t="shared" si="241"/>
        <v>1.772845156369184</v>
      </c>
      <c r="L1143" s="6">
        <f t="shared" si="235"/>
        <v>-8.610745157561446E-2</v>
      </c>
      <c r="M1143">
        <f t="shared" si="242"/>
        <v>0.38882872958062004</v>
      </c>
      <c r="N1143" s="15">
        <v>-3.88E-4</v>
      </c>
      <c r="O1143" s="8">
        <f>(I1143 - MAX(I1082:I1143)) / MAX(I1082:I1143)</f>
        <v>-8.649545157561446E-2</v>
      </c>
      <c r="P1143" s="15">
        <v>-8.5500000000000007E-2</v>
      </c>
      <c r="Q1143">
        <f t="shared" si="243"/>
        <v>0.63809354774379612</v>
      </c>
      <c r="R1143">
        <f t="shared" si="244"/>
        <v>1.7279474350761593E-2</v>
      </c>
      <c r="S1143" s="15">
        <f t="shared" si="245"/>
        <v>4.7673255414175095E-2</v>
      </c>
    </row>
    <row r="1144" spans="1:19" x14ac:dyDescent="0.3">
      <c r="A1144" s="2">
        <v>43891</v>
      </c>
      <c r="B1144">
        <v>2020</v>
      </c>
      <c r="C1144">
        <v>3</v>
      </c>
      <c r="D1144" t="s">
        <v>55</v>
      </c>
      <c r="E1144" t="s">
        <v>30</v>
      </c>
      <c r="F1144" t="s">
        <v>23</v>
      </c>
      <c r="G1144" t="s">
        <v>33</v>
      </c>
      <c r="H1144" t="s">
        <v>12</v>
      </c>
      <c r="I1144">
        <v>161.12</v>
      </c>
      <c r="J1144" s="8">
        <f t="shared" si="240"/>
        <v>-0.11355633802816895</v>
      </c>
      <c r="K1144" s="8">
        <f t="shared" si="241"/>
        <v>1.4579710144927538</v>
      </c>
      <c r="L1144" s="6">
        <f t="shared" si="235"/>
        <v>-0.11310533802816894</v>
      </c>
      <c r="M1144">
        <f t="shared" si="242"/>
        <v>7.7067769603131622E-2</v>
      </c>
      <c r="N1144" s="15">
        <v>-4.5100000000000001E-4</v>
      </c>
      <c r="O1144" s="8">
        <f>(I1144 - MAX(I1082:I1144)) / MAX(I1082:I1144)</f>
        <v>-0.19022968286676381</v>
      </c>
      <c r="P1144" s="15">
        <v>-0.16300000000000001</v>
      </c>
      <c r="Q1144">
        <f t="shared" si="243"/>
        <v>0.70824888746498993</v>
      </c>
      <c r="R1144">
        <f t="shared" si="244"/>
        <v>1.3725679644355303E-2</v>
      </c>
      <c r="S1144" s="15">
        <f t="shared" si="245"/>
        <v>5.932180054484177E-2</v>
      </c>
    </row>
    <row r="1145" spans="1:19" x14ac:dyDescent="0.3">
      <c r="A1145" s="2">
        <v>43922</v>
      </c>
      <c r="B1145">
        <v>2020</v>
      </c>
      <c r="C1145">
        <v>4</v>
      </c>
      <c r="D1145" t="s">
        <v>55</v>
      </c>
      <c r="E1145" t="s">
        <v>30</v>
      </c>
      <c r="F1145" t="s">
        <v>23</v>
      </c>
      <c r="G1145" t="s">
        <v>33</v>
      </c>
      <c r="H1145" t="s">
        <v>12</v>
      </c>
      <c r="I1145">
        <v>178.72</v>
      </c>
      <c r="J1145" s="8">
        <f t="shared" si="240"/>
        <v>0.10923535253227404</v>
      </c>
      <c r="K1145" s="8">
        <f t="shared" si="241"/>
        <v>1.7264683447749811</v>
      </c>
      <c r="L1145" s="6">
        <f t="shared" si="235"/>
        <v>0.10961035253227404</v>
      </c>
      <c r="M1145">
        <f t="shared" si="242"/>
        <v>0.14221083225327052</v>
      </c>
      <c r="N1145" s="15">
        <v>-3.7500000000000001E-4</v>
      </c>
      <c r="O1145" s="8">
        <f>(I1145 - MAX(I1082:I1145)) / MAX(I1082:I1145)</f>
        <v>-0.10177413680454341</v>
      </c>
      <c r="P1145" s="15">
        <v>5.0599999999999999E-2</v>
      </c>
      <c r="Q1145">
        <f t="shared" si="243"/>
        <v>0.78469901921797425</v>
      </c>
      <c r="R1145">
        <f t="shared" si="244"/>
        <v>1.9295716199388593E-2</v>
      </c>
      <c r="S1145" s="15">
        <f t="shared" si="245"/>
        <v>6.5444311708114294E-2</v>
      </c>
    </row>
    <row r="1146" spans="1:19" x14ac:dyDescent="0.3">
      <c r="A1146" s="2">
        <v>43952</v>
      </c>
      <c r="B1146">
        <v>2020</v>
      </c>
      <c r="C1146">
        <v>5</v>
      </c>
      <c r="D1146" t="s">
        <v>55</v>
      </c>
      <c r="E1146" t="s">
        <v>30</v>
      </c>
      <c r="F1146" t="s">
        <v>23</v>
      </c>
      <c r="G1146" t="s">
        <v>33</v>
      </c>
      <c r="H1146" t="s">
        <v>12</v>
      </c>
      <c r="I1146">
        <v>195.24</v>
      </c>
      <c r="J1146" s="8">
        <f t="shared" si="240"/>
        <v>9.2435094001790563E-2</v>
      </c>
      <c r="K1146" s="8">
        <f t="shared" si="241"/>
        <v>1.9784897025171628</v>
      </c>
      <c r="L1146" s="6">
        <f t="shared" si="235"/>
        <v>9.2865094001790563E-2</v>
      </c>
      <c r="M1146">
        <f t="shared" si="242"/>
        <v>0.26992080150079889</v>
      </c>
      <c r="N1146" s="15">
        <v>-4.2999999999999999E-4</v>
      </c>
      <c r="O1146" s="8">
        <f>(I1146 - MAX(I1082:I1146)) / MAX(I1082:I1146)</f>
        <v>-1.8746544705231894E-2</v>
      </c>
      <c r="P1146" s="15">
        <v>4.1799999999999997E-2</v>
      </c>
      <c r="Q1146">
        <f t="shared" si="243"/>
        <v>0.84538589059904856</v>
      </c>
      <c r="R1146">
        <f t="shared" si="244"/>
        <v>2.1709682904167117E-2</v>
      </c>
      <c r="S1146" s="15">
        <f t="shared" si="245"/>
        <v>6.8936511663812622E-2</v>
      </c>
    </row>
    <row r="1147" spans="1:19" x14ac:dyDescent="0.3">
      <c r="A1147" s="2">
        <v>43983</v>
      </c>
      <c r="B1147">
        <v>2020</v>
      </c>
      <c r="C1147">
        <v>6</v>
      </c>
      <c r="D1147" t="s">
        <v>55</v>
      </c>
      <c r="E1147" t="s">
        <v>30</v>
      </c>
      <c r="F1147" t="s">
        <v>23</v>
      </c>
      <c r="G1147" t="s">
        <v>33</v>
      </c>
      <c r="H1147" t="s">
        <v>12</v>
      </c>
      <c r="I1147">
        <v>193.17</v>
      </c>
      <c r="J1147" s="8">
        <f t="shared" ref="J1147:J1178" si="246">(I1147-I1146)/I1146</f>
        <v>-1.0602335586969993E-2</v>
      </c>
      <c r="K1147" s="8">
        <f t="shared" ref="K1147:K1178" si="247">(K1146+1)*(J1147+1)-1</f>
        <v>1.9469107551487412</v>
      </c>
      <c r="L1147" s="6">
        <f t="shared" si="235"/>
        <v>-1.0240335586969993E-2</v>
      </c>
      <c r="M1147">
        <f t="shared" si="242"/>
        <v>0.17079659504667083</v>
      </c>
      <c r="N1147" s="15">
        <v>-3.6200000000000002E-4</v>
      </c>
      <c r="O1147" s="8">
        <f>(I1147 - MAX(I1082:I1147)) / MAX(I1082:I1147)</f>
        <v>-2.9150123134140882E-2</v>
      </c>
      <c r="P1147" s="15">
        <v>6.0299999999999999E-2</v>
      </c>
      <c r="Q1147">
        <f t="shared" si="243"/>
        <v>0.72150047673827289</v>
      </c>
      <c r="R1147">
        <f t="shared" si="244"/>
        <v>1.3977545443652085E-2</v>
      </c>
      <c r="S1147" s="15">
        <f t="shared" si="245"/>
        <v>6.6863198447331629E-2</v>
      </c>
    </row>
    <row r="1148" spans="1:19" x14ac:dyDescent="0.3">
      <c r="A1148" s="2">
        <v>44013</v>
      </c>
      <c r="B1148">
        <v>2020</v>
      </c>
      <c r="C1148">
        <v>7</v>
      </c>
      <c r="D1148" t="s">
        <v>55</v>
      </c>
      <c r="E1148" t="s">
        <v>30</v>
      </c>
      <c r="F1148" t="s">
        <v>23</v>
      </c>
      <c r="G1148" t="s">
        <v>33</v>
      </c>
      <c r="H1148" t="s">
        <v>12</v>
      </c>
      <c r="I1148">
        <v>190.4</v>
      </c>
      <c r="J1148" s="8">
        <f t="shared" si="246"/>
        <v>-1.4339700781694787E-2</v>
      </c>
      <c r="K1148" s="8">
        <f t="shared" si="247"/>
        <v>1.9046529366895499</v>
      </c>
      <c r="L1148" s="6">
        <f t="shared" si="235"/>
        <v>-1.3903700781694787E-2</v>
      </c>
      <c r="M1148">
        <f t="shared" si="242"/>
        <v>0.12074224238475097</v>
      </c>
      <c r="N1148" s="15">
        <v>-4.3600000000000003E-4</v>
      </c>
      <c r="O1148" s="8">
        <f>(I1148 - MAX(I1082:I1148)) / MAX(I1082:I1148)</f>
        <v>-4.3071819872342529E-2</v>
      </c>
      <c r="P1148" s="15">
        <v>-1.8499999999999999E-2</v>
      </c>
      <c r="Q1148">
        <f t="shared" si="243"/>
        <v>0.72485313908003379</v>
      </c>
      <c r="R1148">
        <f t="shared" si="244"/>
        <v>1.1656943695198308E-2</v>
      </c>
      <c r="S1148" s="15">
        <f t="shared" si="245"/>
        <v>6.7065283866193454E-2</v>
      </c>
    </row>
    <row r="1149" spans="1:19" x14ac:dyDescent="0.3">
      <c r="A1149" s="2">
        <v>44044</v>
      </c>
      <c r="B1149">
        <v>2020</v>
      </c>
      <c r="C1149">
        <v>8</v>
      </c>
      <c r="D1149" t="s">
        <v>55</v>
      </c>
      <c r="E1149" t="s">
        <v>30</v>
      </c>
      <c r="F1149" t="s">
        <v>23</v>
      </c>
      <c r="G1149" t="s">
        <v>33</v>
      </c>
      <c r="H1149" t="s">
        <v>12</v>
      </c>
      <c r="I1149">
        <v>211.99</v>
      </c>
      <c r="J1149" s="8">
        <f t="shared" si="246"/>
        <v>0.11339285714285716</v>
      </c>
      <c r="K1149" s="8">
        <f t="shared" si="247"/>
        <v>2.2340198321891682</v>
      </c>
      <c r="L1149" s="6">
        <f t="shared" si="235"/>
        <v>0.11382885714285716</v>
      </c>
      <c r="M1149">
        <f t="shared" si="242"/>
        <v>0.21998713253235641</v>
      </c>
      <c r="N1149" s="15">
        <v>-4.3600000000000003E-4</v>
      </c>
      <c r="O1149" s="8">
        <f>(I1149 - MAX(I1082:I1149)) / MAX(I1082:I1149)</f>
        <v>0</v>
      </c>
      <c r="P1149" s="15">
        <v>3.09E-2</v>
      </c>
      <c r="Q1149">
        <f t="shared" si="243"/>
        <v>0.78316766396858373</v>
      </c>
      <c r="R1149">
        <f t="shared" si="244"/>
        <v>1.7296856260094428E-2</v>
      </c>
      <c r="S1149" s="15">
        <f t="shared" si="245"/>
        <v>7.3722688305836712E-2</v>
      </c>
    </row>
    <row r="1150" spans="1:19" x14ac:dyDescent="0.3">
      <c r="A1150" s="2">
        <v>44075</v>
      </c>
      <c r="B1150">
        <v>2020</v>
      </c>
      <c r="C1150">
        <v>9</v>
      </c>
      <c r="D1150" t="s">
        <v>55</v>
      </c>
      <c r="E1150" t="s">
        <v>30</v>
      </c>
      <c r="F1150" t="s">
        <v>23</v>
      </c>
      <c r="G1150" t="s">
        <v>33</v>
      </c>
      <c r="H1150" t="s">
        <v>12</v>
      </c>
      <c r="I1150">
        <v>199.97</v>
      </c>
      <c r="J1150" s="8">
        <f t="shared" si="246"/>
        <v>-5.6700787773008209E-2</v>
      </c>
      <c r="K1150" s="8">
        <f t="shared" si="247"/>
        <v>2.0506483600305105</v>
      </c>
      <c r="L1150" s="6">
        <f t="shared" si="235"/>
        <v>-5.6263787773008209E-2</v>
      </c>
      <c r="M1150">
        <f t="shared" si="242"/>
        <v>0.20900796796797194</v>
      </c>
      <c r="N1150" s="15">
        <v>-4.37E-4</v>
      </c>
      <c r="O1150" s="8">
        <f>(I1150 - MAX(I1082:I1150)) / MAX(I1082:I1150)</f>
        <v>-5.6700787773008209E-2</v>
      </c>
      <c r="P1150" s="15">
        <v>-2.41E-2</v>
      </c>
      <c r="Q1150">
        <f t="shared" si="243"/>
        <v>0.91100373327439665</v>
      </c>
      <c r="R1150">
        <f t="shared" si="244"/>
        <v>2.1795399876729578E-2</v>
      </c>
      <c r="S1150" s="15">
        <f t="shared" si="245"/>
        <v>7.4390789231350105E-2</v>
      </c>
    </row>
    <row r="1151" spans="1:19" x14ac:dyDescent="0.3">
      <c r="A1151" s="2">
        <v>44105</v>
      </c>
      <c r="B1151">
        <v>2020</v>
      </c>
      <c r="C1151">
        <v>10</v>
      </c>
      <c r="D1151" t="s">
        <v>55</v>
      </c>
      <c r="E1151" t="s">
        <v>30</v>
      </c>
      <c r="F1151" t="s">
        <v>23</v>
      </c>
      <c r="G1151" t="s">
        <v>33</v>
      </c>
      <c r="H1151" t="s">
        <v>12</v>
      </c>
      <c r="I1151">
        <v>181.71</v>
      </c>
      <c r="J1151" s="8">
        <f t="shared" si="246"/>
        <v>-9.1313697054558135E-2</v>
      </c>
      <c r="K1151" s="8">
        <f t="shared" si="247"/>
        <v>1.7720823798626997</v>
      </c>
      <c r="L1151" s="6">
        <f t="shared" si="235"/>
        <v>-9.0807697054558129E-2</v>
      </c>
      <c r="M1151">
        <f t="shared" si="242"/>
        <v>5.7965902595535607E-2</v>
      </c>
      <c r="N1151" s="15">
        <v>-5.0600000000000005E-4</v>
      </c>
      <c r="O1151" s="8">
        <f>(I1151 - MAX(I1082:I1151)) / MAX(I1082:I1151)</f>
        <v>-0.14283692627010708</v>
      </c>
      <c r="P1151" s="15">
        <v>-7.3700000000000002E-2</v>
      </c>
      <c r="Q1151">
        <f t="shared" si="243"/>
        <v>0.96290843277802951</v>
      </c>
      <c r="R1151">
        <f t="shared" si="244"/>
        <v>1.7923845071805521E-2</v>
      </c>
      <c r="S1151" s="15">
        <f t="shared" si="245"/>
        <v>7.9870588687940502E-2</v>
      </c>
    </row>
    <row r="1152" spans="1:19" x14ac:dyDescent="0.3">
      <c r="A1152" s="2">
        <v>44136</v>
      </c>
      <c r="B1152">
        <v>2020</v>
      </c>
      <c r="C1152">
        <v>11</v>
      </c>
      <c r="D1152" t="s">
        <v>55</v>
      </c>
      <c r="E1152" t="s">
        <v>30</v>
      </c>
      <c r="F1152" t="s">
        <v>23</v>
      </c>
      <c r="G1152" t="s">
        <v>33</v>
      </c>
      <c r="H1152" t="s">
        <v>12</v>
      </c>
      <c r="I1152">
        <v>210.35</v>
      </c>
      <c r="J1152" s="8">
        <f t="shared" si="246"/>
        <v>0.15761378019921846</v>
      </c>
      <c r="K1152" s="8">
        <f t="shared" si="247"/>
        <v>2.209000762776506</v>
      </c>
      <c r="L1152" s="6">
        <f t="shared" si="235"/>
        <v>0.15812578019921847</v>
      </c>
      <c r="M1152">
        <f t="shared" si="242"/>
        <v>0.165999209584828</v>
      </c>
      <c r="N1152" s="15">
        <v>-5.1199999999999998E-4</v>
      </c>
      <c r="O1152" s="8">
        <f>(I1152 - MAX(I1082:I1152)) / MAX(I1082:I1152)</f>
        <v>-7.7362139723572559E-3</v>
      </c>
      <c r="P1152" s="15">
        <v>0.18060000000000001</v>
      </c>
      <c r="Q1152">
        <f t="shared" si="243"/>
        <v>0.89210989668750462</v>
      </c>
      <c r="R1152">
        <f t="shared" si="244"/>
        <v>1.6068582249927452E-2</v>
      </c>
      <c r="S1152" s="15">
        <f t="shared" si="245"/>
        <v>9.1265533517875058E-2</v>
      </c>
    </row>
    <row r="1153" spans="1:19" x14ac:dyDescent="0.3">
      <c r="A1153" s="2">
        <v>44166</v>
      </c>
      <c r="B1153">
        <v>2020</v>
      </c>
      <c r="C1153">
        <v>12</v>
      </c>
      <c r="D1153" t="s">
        <v>55</v>
      </c>
      <c r="E1153" t="s">
        <v>30</v>
      </c>
      <c r="F1153" t="s">
        <v>23</v>
      </c>
      <c r="G1153" t="s">
        <v>33</v>
      </c>
      <c r="H1153" t="s">
        <v>12</v>
      </c>
      <c r="I1153">
        <v>218.73</v>
      </c>
      <c r="J1153" s="8">
        <f t="shared" si="246"/>
        <v>3.9838364630377918E-2</v>
      </c>
      <c r="K1153" s="8">
        <f t="shared" si="247"/>
        <v>2.3368421052631576</v>
      </c>
      <c r="L1153" s="6">
        <f t="shared" si="235"/>
        <v>4.0353364630377919E-2</v>
      </c>
      <c r="M1153">
        <f t="shared" si="242"/>
        <v>0.1852574405888705</v>
      </c>
      <c r="N1153" s="15">
        <v>-5.1500000000000005E-4</v>
      </c>
      <c r="O1153" s="8">
        <f>(I1153 - MAX(I1082:I1153)) / MAX(I1082:I1153)</f>
        <v>0</v>
      </c>
      <c r="P1153" s="15">
        <v>2.2599999999999999E-2</v>
      </c>
      <c r="Q1153">
        <f t="shared" si="243"/>
        <v>0.89441474332541115</v>
      </c>
      <c r="R1153">
        <f t="shared" si="244"/>
        <v>1.7079455640727749E-2</v>
      </c>
      <c r="S1153" s="15">
        <f t="shared" si="245"/>
        <v>9.1552982156950569E-2</v>
      </c>
    </row>
    <row r="1154" spans="1:19" x14ac:dyDescent="0.3">
      <c r="A1154" s="2">
        <v>44197</v>
      </c>
      <c r="B1154">
        <v>2021</v>
      </c>
      <c r="C1154">
        <v>1</v>
      </c>
      <c r="D1154" t="s">
        <v>55</v>
      </c>
      <c r="E1154" t="s">
        <v>30</v>
      </c>
      <c r="F1154" t="s">
        <v>23</v>
      </c>
      <c r="G1154" t="s">
        <v>33</v>
      </c>
      <c r="H1154" t="s">
        <v>12</v>
      </c>
      <c r="I1154">
        <v>193.25</v>
      </c>
      <c r="J1154" s="8">
        <f t="shared" si="246"/>
        <v>-0.1164906505737667</v>
      </c>
      <c r="K1154" s="8">
        <f t="shared" si="247"/>
        <v>1.9481311975591149</v>
      </c>
      <c r="L1154" s="6">
        <f t="shared" ref="L1154:L1201" si="248">J1154-N1154</f>
        <v>-0.1160046505737667</v>
      </c>
      <c r="M1154">
        <f t="shared" si="242"/>
        <v>2.4119730844661652E-2</v>
      </c>
      <c r="N1154" s="15">
        <v>-4.86E-4</v>
      </c>
      <c r="O1154" s="8">
        <f>(I1154 - MAX(I1082:I1154)) / MAX(I1082:I1154)</f>
        <v>-0.1164906505737667</v>
      </c>
      <c r="P1154" s="15">
        <v>-2.52E-2</v>
      </c>
      <c r="Q1154">
        <f t="shared" si="243"/>
        <v>0.95096789961911066</v>
      </c>
      <c r="R1154">
        <f t="shared" si="244"/>
        <v>2.1934268029124787E-3</v>
      </c>
      <c r="S1154" s="15">
        <f t="shared" si="245"/>
        <v>9.7950537243148325E-2</v>
      </c>
    </row>
    <row r="1155" spans="1:19" x14ac:dyDescent="0.3">
      <c r="A1155" s="2">
        <v>44228</v>
      </c>
      <c r="B1155">
        <v>2021</v>
      </c>
      <c r="C1155">
        <v>2</v>
      </c>
      <c r="D1155" t="s">
        <v>55</v>
      </c>
      <c r="E1155" t="s">
        <v>30</v>
      </c>
      <c r="F1155" t="s">
        <v>23</v>
      </c>
      <c r="G1155" t="s">
        <v>33</v>
      </c>
      <c r="H1155" t="s">
        <v>12</v>
      </c>
      <c r="I1155">
        <v>212.39</v>
      </c>
      <c r="J1155" s="8">
        <f t="shared" si="246"/>
        <v>9.9042690815006398E-2</v>
      </c>
      <c r="K1155" s="8">
        <f t="shared" si="247"/>
        <v>2.240122044241037</v>
      </c>
      <c r="L1155" s="6">
        <f t="shared" si="248"/>
        <v>9.9413690815006395E-2</v>
      </c>
      <c r="M1155">
        <f t="shared" si="242"/>
        <v>0.18304483682289963</v>
      </c>
      <c r="N1155" s="15">
        <v>-3.7100000000000002E-4</v>
      </c>
      <c r="O1155" s="8">
        <f>(I1155 - MAX(I1082:I1155)) / MAX(I1082:I1155)</f>
        <v>-2.8985507246376829E-2</v>
      </c>
      <c r="P1155" s="15">
        <v>4.4499999999999998E-2</v>
      </c>
      <c r="Q1155">
        <f t="shared" si="243"/>
        <v>0.9659784798000558</v>
      </c>
      <c r="R1155">
        <f t="shared" si="244"/>
        <v>7.1874542256344844E-3</v>
      </c>
      <c r="S1155" s="15">
        <f t="shared" si="245"/>
        <v>9.736759639310115E-2</v>
      </c>
    </row>
    <row r="1156" spans="1:19" x14ac:dyDescent="0.3">
      <c r="A1156" s="2">
        <v>44256</v>
      </c>
      <c r="B1156">
        <v>2021</v>
      </c>
      <c r="C1156">
        <v>3</v>
      </c>
      <c r="D1156" t="s">
        <v>55</v>
      </c>
      <c r="E1156" t="s">
        <v>30</v>
      </c>
      <c r="F1156" t="s">
        <v>23</v>
      </c>
      <c r="G1156" t="s">
        <v>33</v>
      </c>
      <c r="H1156" t="s">
        <v>12</v>
      </c>
      <c r="I1156">
        <v>211.73</v>
      </c>
      <c r="J1156" s="8">
        <f t="shared" si="246"/>
        <v>-3.1074909364847527E-3</v>
      </c>
      <c r="K1156" s="8">
        <f t="shared" si="247"/>
        <v>2.2300533943554535</v>
      </c>
      <c r="L1156" s="6">
        <f t="shared" si="248"/>
        <v>-2.8034909364847527E-3</v>
      </c>
      <c r="M1156">
        <f t="shared" si="242"/>
        <v>0.3045610914644119</v>
      </c>
      <c r="N1156" s="15">
        <v>-3.0400000000000002E-4</v>
      </c>
      <c r="O1156" s="8">
        <f>(I1156 - MAX(I1082:I1156)) / MAX(I1082:I1156)</f>
        <v>-3.2002925981804049E-2</v>
      </c>
      <c r="P1156" s="15">
        <v>7.7800000000000008E-2</v>
      </c>
      <c r="Q1156">
        <f t="shared" si="243"/>
        <v>1.0332835711098562</v>
      </c>
      <c r="R1156">
        <f t="shared" si="244"/>
        <v>-5.0836366822982655E-3</v>
      </c>
      <c r="S1156" s="15">
        <f t="shared" si="245"/>
        <v>8.8699630851380371E-2</v>
      </c>
    </row>
    <row r="1157" spans="1:19" x14ac:dyDescent="0.3">
      <c r="A1157" s="2">
        <v>44287</v>
      </c>
      <c r="B1157">
        <v>2021</v>
      </c>
      <c r="C1157">
        <v>4</v>
      </c>
      <c r="D1157" t="s">
        <v>55</v>
      </c>
      <c r="E1157" t="s">
        <v>30</v>
      </c>
      <c r="F1157" t="s">
        <v>23</v>
      </c>
      <c r="G1157" t="s">
        <v>33</v>
      </c>
      <c r="H1157" t="s">
        <v>12</v>
      </c>
      <c r="I1157">
        <v>233.56</v>
      </c>
      <c r="J1157" s="8">
        <f t="shared" si="246"/>
        <v>0.10310300854862331</v>
      </c>
      <c r="K1157" s="8">
        <f t="shared" si="247"/>
        <v>2.5630816170861936</v>
      </c>
      <c r="L1157" s="6">
        <f t="shared" si="248"/>
        <v>0.1033740085486233</v>
      </c>
      <c r="M1157">
        <f t="shared" ref="M1157:M1188" si="249">(AVERAGE(J1146:J1157)-AVERAGE(N1146:N1157))/STDEV(J1146:J1157)</f>
        <v>0.30040639684526577</v>
      </c>
      <c r="N1157" s="15">
        <v>-2.7099999999999997E-4</v>
      </c>
      <c r="O1157" s="8">
        <f>(I1157 - MAX(I1082:I1157)) / MAX(I1082:I1157)</f>
        <v>0</v>
      </c>
      <c r="P1157" s="15">
        <v>1.4200000000000001E-2</v>
      </c>
      <c r="Q1157">
        <f t="shared" ref="Q1157:Q1188" si="250" xml:space="preserve"> _xlfn.COVARIANCE.P(J1146:J1157, P1146:P1157) / _xlfn.VAR.P(P1146:P1157)</f>
        <v>0.97445928920991898</v>
      </c>
      <c r="R1157">
        <f t="shared" ref="R1157:R1188" si="251">AVERAGE(J1146:J1157)-(AVERAGE(N1146:N1157)+Q1157*(AVERAGE(P1146:P1157)-AVERAGE(N1146:N1157)))</f>
        <v>-8.1169955950595452E-4</v>
      </c>
      <c r="S1157" s="15">
        <f t="shared" ref="S1157:S1188" si="252">STDEV(J1146:J1157)</f>
        <v>8.8196394387243804E-2</v>
      </c>
    </row>
    <row r="1158" spans="1:19" x14ac:dyDescent="0.3">
      <c r="A1158" s="2">
        <v>44317</v>
      </c>
      <c r="B1158">
        <v>2021</v>
      </c>
      <c r="C1158">
        <v>5</v>
      </c>
      <c r="D1158" t="s">
        <v>55</v>
      </c>
      <c r="E1158" t="s">
        <v>30</v>
      </c>
      <c r="F1158" t="s">
        <v>23</v>
      </c>
      <c r="G1158" t="s">
        <v>33</v>
      </c>
      <c r="H1158" t="s">
        <v>12</v>
      </c>
      <c r="I1158">
        <v>227.3</v>
      </c>
      <c r="J1158" s="8">
        <f t="shared" si="246"/>
        <v>-2.6802534680595954E-2</v>
      </c>
      <c r="K1158" s="8">
        <f t="shared" si="247"/>
        <v>2.4675819984744471</v>
      </c>
      <c r="L1158" s="6">
        <f t="shared" si="248"/>
        <v>-2.6616534680595955E-2</v>
      </c>
      <c r="M1158">
        <f t="shared" si="249"/>
        <v>0.19065028667004624</v>
      </c>
      <c r="N1158" s="15">
        <v>-1.8599999999999999E-4</v>
      </c>
      <c r="O1158" s="8">
        <f>(I1158 - MAX(I1082:I1158)) / MAX(I1082:I1158)</f>
        <v>-2.6802534680595954E-2</v>
      </c>
      <c r="P1158" s="15">
        <v>1.6299999999999999E-2</v>
      </c>
      <c r="Q1158">
        <f t="shared" si="250"/>
        <v>0.96403726643658016</v>
      </c>
      <c r="R1158">
        <f t="shared" si="251"/>
        <v>-8.4082730082845857E-3</v>
      </c>
      <c r="S1158" s="15">
        <f t="shared" si="252"/>
        <v>8.6744997614605718E-2</v>
      </c>
    </row>
    <row r="1159" spans="1:19" x14ac:dyDescent="0.3">
      <c r="A1159" s="2">
        <v>44348</v>
      </c>
      <c r="B1159">
        <v>2021</v>
      </c>
      <c r="C1159">
        <v>6</v>
      </c>
      <c r="D1159" t="s">
        <v>55</v>
      </c>
      <c r="E1159" t="s">
        <v>30</v>
      </c>
      <c r="F1159" t="s">
        <v>23</v>
      </c>
      <c r="G1159" t="s">
        <v>33</v>
      </c>
      <c r="H1159" t="s">
        <v>12</v>
      </c>
      <c r="I1159">
        <v>233.82</v>
      </c>
      <c r="J1159" s="8">
        <f t="shared" si="246"/>
        <v>2.8684557853057551E-2</v>
      </c>
      <c r="K1159" s="8">
        <f t="shared" si="247"/>
        <v>2.567048054919908</v>
      </c>
      <c r="L1159" s="6">
        <f t="shared" si="248"/>
        <v>2.8925557853057553E-2</v>
      </c>
      <c r="M1159">
        <f t="shared" si="249"/>
        <v>0.22922781800809966</v>
      </c>
      <c r="N1159" s="15">
        <v>-2.41E-4</v>
      </c>
      <c r="O1159" s="8">
        <f>(I1159 - MAX(I1082:I1159)) / MAX(I1082:I1159)</f>
        <v>0</v>
      </c>
      <c r="P1159" s="15">
        <v>6.1000000000000004E-3</v>
      </c>
      <c r="Q1159">
        <f t="shared" si="250"/>
        <v>1.007087186494114</v>
      </c>
      <c r="R1159">
        <f t="shared" si="251"/>
        <v>-1.6996122398288509E-3</v>
      </c>
      <c r="S1159" s="15">
        <f t="shared" si="252"/>
        <v>8.6384729775916644E-2</v>
      </c>
    </row>
    <row r="1160" spans="1:19" x14ac:dyDescent="0.3">
      <c r="A1160" s="2">
        <v>44378</v>
      </c>
      <c r="B1160">
        <v>2021</v>
      </c>
      <c r="C1160">
        <v>7</v>
      </c>
      <c r="D1160" t="s">
        <v>55</v>
      </c>
      <c r="E1160" t="s">
        <v>30</v>
      </c>
      <c r="F1160" t="s">
        <v>23</v>
      </c>
      <c r="G1160" t="s">
        <v>33</v>
      </c>
      <c r="H1160" t="s">
        <v>12</v>
      </c>
      <c r="I1160">
        <v>246.39</v>
      </c>
      <c r="J1160" s="8">
        <f t="shared" si="246"/>
        <v>5.3759302027200383E-2</v>
      </c>
      <c r="K1160" s="8">
        <f t="shared" si="247"/>
        <v>2.7588100686498853</v>
      </c>
      <c r="L1160" s="6">
        <f t="shared" si="248"/>
        <v>5.4135302027200384E-2</v>
      </c>
      <c r="M1160">
        <f t="shared" si="249"/>
        <v>0.29548619823135697</v>
      </c>
      <c r="N1160" s="15">
        <v>-3.7599999999999998E-4</v>
      </c>
      <c r="O1160" s="8">
        <f>(I1160 - MAX(I1082:I1160)) / MAX(I1082:I1160)</f>
        <v>0</v>
      </c>
      <c r="P1160" s="15">
        <v>6.1999999999999998E-3</v>
      </c>
      <c r="Q1160">
        <f t="shared" si="250"/>
        <v>0.993606500937949</v>
      </c>
      <c r="R1160">
        <f t="shared" si="251"/>
        <v>2.2179130723344043E-3</v>
      </c>
      <c r="S1160" s="15">
        <f t="shared" si="252"/>
        <v>8.6202672642430367E-2</v>
      </c>
    </row>
    <row r="1161" spans="1:19" x14ac:dyDescent="0.3">
      <c r="A1161" s="2">
        <v>44409</v>
      </c>
      <c r="B1161">
        <v>2021</v>
      </c>
      <c r="C1161">
        <v>8</v>
      </c>
      <c r="D1161" t="s">
        <v>55</v>
      </c>
      <c r="E1161" t="s">
        <v>30</v>
      </c>
      <c r="F1161" t="s">
        <v>23</v>
      </c>
      <c r="G1161" t="s">
        <v>33</v>
      </c>
      <c r="H1161" t="s">
        <v>12</v>
      </c>
      <c r="I1161">
        <v>229.1</v>
      </c>
      <c r="J1161" s="8">
        <f t="shared" si="246"/>
        <v>-7.0173302487925623E-2</v>
      </c>
      <c r="K1161" s="8">
        <f t="shared" si="247"/>
        <v>2.4950419527078562</v>
      </c>
      <c r="L1161" s="6">
        <f t="shared" si="248"/>
        <v>-6.9724302487925618E-2</v>
      </c>
      <c r="M1161">
        <f t="shared" si="249"/>
        <v>0.11916492645381491</v>
      </c>
      <c r="N1161" s="15">
        <v>-4.4900000000000002E-4</v>
      </c>
      <c r="O1161" s="8">
        <f>(I1161 - MAX(I1082:I1161)) / MAX(I1082:I1161)</f>
        <v>-7.0173302487925623E-2</v>
      </c>
      <c r="P1161" s="15">
        <v>2.6200000000000001E-2</v>
      </c>
      <c r="Q1161">
        <f t="shared" si="250"/>
        <v>0.96987882607740383</v>
      </c>
      <c r="R1161">
        <f t="shared" si="251"/>
        <v>-1.2144056397452897E-2</v>
      </c>
      <c r="S1161" s="15">
        <f t="shared" si="252"/>
        <v>8.5390925697748615E-2</v>
      </c>
    </row>
    <row r="1162" spans="1:19" x14ac:dyDescent="0.3">
      <c r="A1162" s="2">
        <v>44440</v>
      </c>
      <c r="B1162">
        <v>2021</v>
      </c>
      <c r="C1162">
        <v>9</v>
      </c>
      <c r="D1162" t="s">
        <v>55</v>
      </c>
      <c r="E1162" t="s">
        <v>30</v>
      </c>
      <c r="F1162" t="s">
        <v>23</v>
      </c>
      <c r="G1162" t="s">
        <v>33</v>
      </c>
      <c r="H1162" t="s">
        <v>12</v>
      </c>
      <c r="I1162">
        <v>222.75</v>
      </c>
      <c r="J1162" s="8">
        <f t="shared" si="246"/>
        <v>-2.7717154081187231E-2</v>
      </c>
      <c r="K1162" s="8">
        <f t="shared" si="247"/>
        <v>2.3981693363844392</v>
      </c>
      <c r="L1162" s="6">
        <f t="shared" si="248"/>
        <v>-2.7415154081187231E-2</v>
      </c>
      <c r="M1162">
        <f t="shared" si="249"/>
        <v>0.15023512085288546</v>
      </c>
      <c r="N1162" s="15">
        <v>-3.0200000000000002E-4</v>
      </c>
      <c r="O1162" s="8">
        <f>(I1162 - MAX(I1082:I1162)) / MAX(I1082:I1162)</f>
        <v>-9.5945452331669248E-2</v>
      </c>
      <c r="P1162" s="15">
        <v>-3.5299999999999998E-2</v>
      </c>
      <c r="Q1162">
        <f t="shared" si="250"/>
        <v>0.92371517502326839</v>
      </c>
      <c r="R1162">
        <f t="shared" si="251"/>
        <v>-7.8051212229601121E-3</v>
      </c>
      <c r="S1162" s="15">
        <f t="shared" si="252"/>
        <v>8.373312522952267E-2</v>
      </c>
    </row>
    <row r="1163" spans="1:19" x14ac:dyDescent="0.3">
      <c r="A1163" s="2">
        <v>44470</v>
      </c>
      <c r="B1163">
        <v>2021</v>
      </c>
      <c r="C1163">
        <v>10</v>
      </c>
      <c r="D1163" t="s">
        <v>55</v>
      </c>
      <c r="E1163" t="s">
        <v>30</v>
      </c>
      <c r="F1163" t="s">
        <v>23</v>
      </c>
      <c r="G1163" t="s">
        <v>33</v>
      </c>
      <c r="H1163" t="s">
        <v>12</v>
      </c>
      <c r="I1163">
        <v>211.77</v>
      </c>
      <c r="J1163" s="8">
        <f t="shared" si="246"/>
        <v>-4.929292929292925E-2</v>
      </c>
      <c r="K1163" s="8">
        <f t="shared" si="247"/>
        <v>2.2306636155606405</v>
      </c>
      <c r="L1163" s="6">
        <f t="shared" si="248"/>
        <v>-4.9122929292929246E-2</v>
      </c>
      <c r="M1163">
        <f t="shared" si="249"/>
        <v>0.20117880533668178</v>
      </c>
      <c r="N1163" s="15">
        <v>-1.7000000000000001E-4</v>
      </c>
      <c r="O1163" s="8">
        <f>(I1163 - MAX(I1082:I1163)) / MAX(I1082:I1163)</f>
        <v>-0.14050894922683541</v>
      </c>
      <c r="P1163" s="15">
        <v>0.05</v>
      </c>
      <c r="Q1163">
        <f t="shared" si="250"/>
        <v>0.83075269994743384</v>
      </c>
      <c r="R1163">
        <f t="shared" si="251"/>
        <v>-1.0820286108591676E-2</v>
      </c>
      <c r="S1163" s="15">
        <f t="shared" si="252"/>
        <v>7.9796610821818326E-2</v>
      </c>
    </row>
    <row r="1164" spans="1:19" x14ac:dyDescent="0.3">
      <c r="A1164" s="2">
        <v>44501</v>
      </c>
      <c r="B1164">
        <v>2021</v>
      </c>
      <c r="C1164">
        <v>11</v>
      </c>
      <c r="D1164" t="s">
        <v>55</v>
      </c>
      <c r="E1164" t="s">
        <v>30</v>
      </c>
      <c r="F1164" t="s">
        <v>23</v>
      </c>
      <c r="G1164" t="s">
        <v>33</v>
      </c>
      <c r="H1164" t="s">
        <v>12</v>
      </c>
      <c r="I1164">
        <v>193.77</v>
      </c>
      <c r="J1164" s="8">
        <f t="shared" si="246"/>
        <v>-8.4997875053123673E-2</v>
      </c>
      <c r="K1164" s="8">
        <f t="shared" si="247"/>
        <v>1.9560640732265444</v>
      </c>
      <c r="L1164" s="6">
        <f t="shared" si="248"/>
        <v>-8.4736875053123675E-2</v>
      </c>
      <c r="M1164">
        <f t="shared" si="249"/>
        <v>-5.9111849103560356E-2</v>
      </c>
      <c r="N1164" s="15">
        <v>-2.61E-4</v>
      </c>
      <c r="O1164" s="8">
        <f>(I1164 - MAX(I1082:I1164)) / MAX(I1082:I1164)</f>
        <v>-0.21356386216973083</v>
      </c>
      <c r="P1164" s="15">
        <v>-4.41E-2</v>
      </c>
      <c r="Q1164">
        <f t="shared" si="250"/>
        <v>0.76366982864165245</v>
      </c>
      <c r="R1164">
        <f t="shared" si="251"/>
        <v>-1.4573113891715153E-2</v>
      </c>
      <c r="S1164" s="15">
        <f t="shared" si="252"/>
        <v>7.0800826446490328E-2</v>
      </c>
    </row>
    <row r="1165" spans="1:19" x14ac:dyDescent="0.3">
      <c r="A1165" s="2">
        <v>44531</v>
      </c>
      <c r="B1165">
        <v>2021</v>
      </c>
      <c r="C1165">
        <v>12</v>
      </c>
      <c r="D1165" t="s">
        <v>55</v>
      </c>
      <c r="E1165" t="s">
        <v>30</v>
      </c>
      <c r="F1165" t="s">
        <v>23</v>
      </c>
      <c r="G1165" t="s">
        <v>33</v>
      </c>
      <c r="H1165" t="s">
        <v>12</v>
      </c>
      <c r="I1165">
        <v>216.71</v>
      </c>
      <c r="J1165" s="8">
        <f t="shared" si="246"/>
        <v>0.11838777932600504</v>
      </c>
      <c r="K1165" s="8">
        <f t="shared" si="247"/>
        <v>2.3060259344012204</v>
      </c>
      <c r="L1165" s="6">
        <f t="shared" si="248"/>
        <v>0.11870777932600504</v>
      </c>
      <c r="M1165">
        <f t="shared" si="249"/>
        <v>2.9869185074490986E-2</v>
      </c>
      <c r="N1165" s="15">
        <v>-3.2000000000000003E-4</v>
      </c>
      <c r="O1165" s="8">
        <f>(I1165 - MAX(I1082:I1165)) / MAX(I1082:I1165)</f>
        <v>-0.12045943423028524</v>
      </c>
      <c r="P1165" s="15">
        <v>5.9800000000000013E-2</v>
      </c>
      <c r="Q1165">
        <f t="shared" si="250"/>
        <v>0.98705778579999648</v>
      </c>
      <c r="R1165">
        <f t="shared" si="251"/>
        <v>-1.412609069927954E-2</v>
      </c>
      <c r="S1165" s="15">
        <f t="shared" si="252"/>
        <v>7.8487805502895039E-2</v>
      </c>
    </row>
    <row r="1166" spans="1:19" x14ac:dyDescent="0.3">
      <c r="A1166" s="2">
        <v>44562</v>
      </c>
      <c r="B1166">
        <v>2022</v>
      </c>
      <c r="C1166">
        <v>1</v>
      </c>
      <c r="D1166" t="s">
        <v>55</v>
      </c>
      <c r="E1166" t="s">
        <v>30</v>
      </c>
      <c r="F1166" t="s">
        <v>23</v>
      </c>
      <c r="G1166" t="s">
        <v>33</v>
      </c>
      <c r="H1166" t="s">
        <v>12</v>
      </c>
      <c r="I1166">
        <v>226.17</v>
      </c>
      <c r="J1166" s="8">
        <f t="shared" si="246"/>
        <v>4.3652807899958374E-2</v>
      </c>
      <c r="K1166" s="8">
        <f t="shared" si="247"/>
        <v>2.4503432494279171</v>
      </c>
      <c r="L1166" s="6">
        <f t="shared" si="248"/>
        <v>4.3748807899958372E-2</v>
      </c>
      <c r="M1166">
        <f t="shared" si="249"/>
        <v>0.22490607535201498</v>
      </c>
      <c r="N1166" s="15">
        <v>-9.6000000000000002E-5</v>
      </c>
      <c r="O1166" s="8">
        <f>(I1166 - MAX(I1082:I1166)) / MAX(I1082:I1166)</f>
        <v>-8.2065018872519171E-2</v>
      </c>
      <c r="P1166" s="15">
        <v>-3.0499999999999999E-2</v>
      </c>
      <c r="Q1166">
        <f t="shared" si="250"/>
        <v>0.54423090342053315</v>
      </c>
      <c r="R1166">
        <f t="shared" si="251"/>
        <v>6.8339475308208351E-3</v>
      </c>
      <c r="S1166" s="15">
        <f t="shared" si="252"/>
        <v>6.9616416409802873E-2</v>
      </c>
    </row>
    <row r="1167" spans="1:19" x14ac:dyDescent="0.3">
      <c r="A1167" s="2">
        <v>44593</v>
      </c>
      <c r="B1167">
        <v>2022</v>
      </c>
      <c r="C1167">
        <v>2</v>
      </c>
      <c r="D1167" t="s">
        <v>55</v>
      </c>
      <c r="E1167" t="s">
        <v>30</v>
      </c>
      <c r="F1167" t="s">
        <v>23</v>
      </c>
      <c r="G1167" t="s">
        <v>33</v>
      </c>
      <c r="H1167" t="s">
        <v>12</v>
      </c>
      <c r="I1167">
        <v>216.12</v>
      </c>
      <c r="J1167" s="8">
        <f t="shared" si="246"/>
        <v>-4.4435601538665534E-2</v>
      </c>
      <c r="K1167" s="8">
        <f t="shared" si="247"/>
        <v>2.2970251716247136</v>
      </c>
      <c r="L1167" s="6">
        <f t="shared" si="248"/>
        <v>-4.4560601538665534E-2</v>
      </c>
      <c r="M1167">
        <f t="shared" si="249"/>
        <v>5.5295603245240375E-2</v>
      </c>
      <c r="N1167" s="15">
        <v>1.25E-4</v>
      </c>
      <c r="O1167" s="8">
        <f>(I1167 - MAX(I1082:I1167)) / MAX(I1082:I1167)</f>
        <v>-0.12285401193230239</v>
      </c>
      <c r="P1167" s="15">
        <v>-0.06</v>
      </c>
      <c r="Q1167">
        <f t="shared" si="250"/>
        <v>0.48085701577461909</v>
      </c>
      <c r="R1167">
        <f t="shared" si="251"/>
        <v>7.0861747024977221E-5</v>
      </c>
      <c r="S1167" s="15">
        <f t="shared" si="252"/>
        <v>6.617700294238188E-2</v>
      </c>
    </row>
    <row r="1168" spans="1:19" x14ac:dyDescent="0.3">
      <c r="A1168" s="2">
        <v>44621</v>
      </c>
      <c r="B1168">
        <v>2022</v>
      </c>
      <c r="C1168">
        <v>3</v>
      </c>
      <c r="D1168" t="s">
        <v>55</v>
      </c>
      <c r="E1168" t="s">
        <v>30</v>
      </c>
      <c r="F1168" t="s">
        <v>23</v>
      </c>
      <c r="G1168" t="s">
        <v>33</v>
      </c>
      <c r="H1168" t="s">
        <v>12</v>
      </c>
      <c r="I1168">
        <v>221.77</v>
      </c>
      <c r="J1168" s="8">
        <f t="shared" si="246"/>
        <v>2.6142883583194547E-2</v>
      </c>
      <c r="K1168" s="8">
        <f t="shared" si="247"/>
        <v>2.3832189168573605</v>
      </c>
      <c r="L1168" s="6">
        <f t="shared" si="248"/>
        <v>2.5907883583194548E-2</v>
      </c>
      <c r="M1168">
        <f t="shared" si="249"/>
        <v>9.1070875674880272E-2</v>
      </c>
      <c r="N1168" s="15">
        <v>2.3499999999999999E-4</v>
      </c>
      <c r="O1168" s="8">
        <f>(I1168 - MAX(I1082:I1168)) / MAX(I1082:I1168)</f>
        <v>-9.9922886480782402E-2</v>
      </c>
      <c r="P1168" s="15">
        <v>-5.5000000000000014E-3</v>
      </c>
      <c r="Q1168">
        <f t="shared" si="250"/>
        <v>0.67812016171805245</v>
      </c>
      <c r="R1168">
        <f t="shared" si="251"/>
        <v>5.7291266449898673E-3</v>
      </c>
      <c r="S1168" s="15">
        <f t="shared" si="252"/>
        <v>6.645276875971598E-2</v>
      </c>
    </row>
    <row r="1169" spans="1:19" x14ac:dyDescent="0.3">
      <c r="A1169" s="2">
        <v>44652</v>
      </c>
      <c r="B1169">
        <v>2022</v>
      </c>
      <c r="C1169">
        <v>4</v>
      </c>
      <c r="D1169" t="s">
        <v>55</v>
      </c>
      <c r="E1169" t="s">
        <v>30</v>
      </c>
      <c r="F1169" t="s">
        <v>23</v>
      </c>
      <c r="G1169" t="s">
        <v>33</v>
      </c>
      <c r="H1169" t="s">
        <v>12</v>
      </c>
      <c r="I1169">
        <v>213.13</v>
      </c>
      <c r="J1169" s="8">
        <f t="shared" si="246"/>
        <v>-3.8959282139153242E-2</v>
      </c>
      <c r="K1169" s="8">
        <f t="shared" si="247"/>
        <v>2.2514111365369942</v>
      </c>
      <c r="L1169" s="6">
        <f t="shared" si="248"/>
        <v>-3.958128213915324E-2</v>
      </c>
      <c r="M1169">
        <f t="shared" si="249"/>
        <v>-9.7874043279457423E-2</v>
      </c>
      <c r="N1169" s="15">
        <v>6.2200000000000005E-4</v>
      </c>
      <c r="O1169" s="8">
        <f>(I1169 - MAX(I1082:I1169)) / MAX(I1082:I1169)</f>
        <v>-0.13498924469337226</v>
      </c>
      <c r="P1169" s="15">
        <v>-2.5499999999999998E-2</v>
      </c>
      <c r="Q1169">
        <f t="shared" si="250"/>
        <v>0.6197836344942721</v>
      </c>
      <c r="R1169">
        <f t="shared" si="251"/>
        <v>-4.0594729691141619E-3</v>
      </c>
      <c r="S1169" s="15">
        <f t="shared" si="252"/>
        <v>5.9883385341969873E-2</v>
      </c>
    </row>
    <row r="1170" spans="1:19" x14ac:dyDescent="0.3">
      <c r="A1170" s="2">
        <v>44682</v>
      </c>
      <c r="B1170">
        <v>2022</v>
      </c>
      <c r="C1170">
        <v>5</v>
      </c>
      <c r="D1170" t="s">
        <v>55</v>
      </c>
      <c r="E1170" t="s">
        <v>30</v>
      </c>
      <c r="F1170" t="s">
        <v>23</v>
      </c>
      <c r="G1170" t="s">
        <v>33</v>
      </c>
      <c r="H1170" t="s">
        <v>12</v>
      </c>
      <c r="I1170">
        <v>212.17</v>
      </c>
      <c r="J1170" s="8">
        <f t="shared" si="246"/>
        <v>-4.504293154412837E-3</v>
      </c>
      <c r="K1170" s="8">
        <f t="shared" si="247"/>
        <v>2.2367658276125089</v>
      </c>
      <c r="L1170" s="6">
        <f t="shared" si="248"/>
        <v>-5.2982931544128375E-3</v>
      </c>
      <c r="M1170">
        <f t="shared" si="249"/>
        <v>-6.8620252864431117E-2</v>
      </c>
      <c r="N1170" s="15">
        <v>7.94E-4</v>
      </c>
      <c r="O1170" s="8">
        <f>(I1170 - MAX(I1082:I1170)) / MAX(I1082:I1170)</f>
        <v>-0.1388855067169934</v>
      </c>
      <c r="P1170" s="15">
        <v>-3.5999999999999999E-3</v>
      </c>
      <c r="Q1170">
        <f t="shared" si="250"/>
        <v>0.66583238008195</v>
      </c>
      <c r="R1170">
        <f t="shared" si="251"/>
        <v>-9.9055230935265809E-4</v>
      </c>
      <c r="S1170" s="15">
        <f t="shared" si="252"/>
        <v>5.9523373217058466E-2</v>
      </c>
    </row>
    <row r="1171" spans="1:19" x14ac:dyDescent="0.3">
      <c r="A1171" s="2">
        <v>44713</v>
      </c>
      <c r="B1171">
        <v>2022</v>
      </c>
      <c r="C1171">
        <v>6</v>
      </c>
      <c r="D1171" t="s">
        <v>55</v>
      </c>
      <c r="E1171" t="s">
        <v>30</v>
      </c>
      <c r="F1171" t="s">
        <v>23</v>
      </c>
      <c r="G1171" t="s">
        <v>33</v>
      </c>
      <c r="H1171" t="s">
        <v>12</v>
      </c>
      <c r="I1171">
        <v>196.89</v>
      </c>
      <c r="J1171" s="8">
        <f t="shared" si="246"/>
        <v>-7.2017721638308912E-2</v>
      </c>
      <c r="K1171" s="8">
        <f t="shared" si="247"/>
        <v>2.0036613272311206</v>
      </c>
      <c r="L1171" s="6">
        <f t="shared" si="248"/>
        <v>-7.3221721638308909E-2</v>
      </c>
      <c r="M1171">
        <f t="shared" si="249"/>
        <v>-0.20468491307250786</v>
      </c>
      <c r="N1171" s="15">
        <v>1.204E-3</v>
      </c>
      <c r="O1171" s="8">
        <f>(I1171 - MAX(I1082:I1171)) / MAX(I1082:I1171)</f>
        <v>-0.20090101059296239</v>
      </c>
      <c r="P1171" s="15">
        <v>-8.8200000000000001E-2</v>
      </c>
      <c r="Q1171">
        <f t="shared" si="250"/>
        <v>0.6872479016361317</v>
      </c>
      <c r="R1171">
        <f t="shared" si="251"/>
        <v>-3.9199338303386837E-3</v>
      </c>
      <c r="S1171" s="15">
        <f t="shared" si="252"/>
        <v>6.154230921740364E-2</v>
      </c>
    </row>
    <row r="1172" spans="1:19" x14ac:dyDescent="0.3">
      <c r="A1172" s="2">
        <v>44743</v>
      </c>
      <c r="B1172">
        <v>2022</v>
      </c>
      <c r="C1172">
        <v>7</v>
      </c>
      <c r="D1172" t="s">
        <v>55</v>
      </c>
      <c r="E1172" t="s">
        <v>30</v>
      </c>
      <c r="F1172" t="s">
        <v>23</v>
      </c>
      <c r="G1172" t="s">
        <v>33</v>
      </c>
      <c r="H1172" t="s">
        <v>12</v>
      </c>
      <c r="I1172">
        <v>212.11</v>
      </c>
      <c r="J1172" s="8">
        <f t="shared" si="246"/>
        <v>7.7302046828178317E-2</v>
      </c>
      <c r="K1172" s="8">
        <f t="shared" si="247"/>
        <v>2.2358504958047285</v>
      </c>
      <c r="L1172" s="6">
        <f t="shared" si="248"/>
        <v>7.6400046828178317E-2</v>
      </c>
      <c r="M1172">
        <f t="shared" si="249"/>
        <v>-0.16739902025303807</v>
      </c>
      <c r="N1172" s="15">
        <v>9.0200000000000002E-4</v>
      </c>
      <c r="O1172" s="8">
        <f>(I1172 - MAX(I1082:I1172)) / MAX(I1082:I1172)</f>
        <v>-0.13912902309346961</v>
      </c>
      <c r="P1172" s="15">
        <v>7.3300000000000004E-2</v>
      </c>
      <c r="Q1172">
        <f t="shared" si="250"/>
        <v>0.75107725934670455</v>
      </c>
      <c r="R1172">
        <f t="shared" si="251"/>
        <v>-5.3784448215422487E-3</v>
      </c>
      <c r="S1172" s="15">
        <f t="shared" si="252"/>
        <v>6.4166366064315278E-2</v>
      </c>
    </row>
    <row r="1173" spans="1:19" x14ac:dyDescent="0.3">
      <c r="A1173" s="2">
        <v>44774</v>
      </c>
      <c r="B1173">
        <v>2022</v>
      </c>
      <c r="C1173">
        <v>8</v>
      </c>
      <c r="D1173" t="s">
        <v>55</v>
      </c>
      <c r="E1173" t="s">
        <v>30</v>
      </c>
      <c r="F1173" t="s">
        <v>23</v>
      </c>
      <c r="G1173" t="s">
        <v>33</v>
      </c>
      <c r="H1173" t="s">
        <v>12</v>
      </c>
      <c r="I1173">
        <v>198.71</v>
      </c>
      <c r="J1173" s="8">
        <f t="shared" si="246"/>
        <v>-6.3174767809155652E-2</v>
      </c>
      <c r="K1173" s="8">
        <f t="shared" si="247"/>
        <v>2.0314263920671234</v>
      </c>
      <c r="L1173" s="6">
        <f t="shared" si="248"/>
        <v>-6.4036767809155654E-2</v>
      </c>
      <c r="M1173">
        <f t="shared" si="249"/>
        <v>-0.16142599264000596</v>
      </c>
      <c r="N1173" s="15">
        <v>8.6200000000000003E-4</v>
      </c>
      <c r="O1173" s="8">
        <f>(I1173 - MAX(I1082:I1173)) / MAX(I1082:I1173)</f>
        <v>-0.19351434717318064</v>
      </c>
      <c r="P1173" s="15">
        <v>-5.1499999999999997E-2</v>
      </c>
      <c r="Q1173">
        <f t="shared" si="250"/>
        <v>0.89606250280409117</v>
      </c>
      <c r="R1173">
        <f t="shared" si="251"/>
        <v>2.0306589024766432E-3</v>
      </c>
      <c r="S1173" s="15">
        <f t="shared" si="252"/>
        <v>6.3604537418150447E-2</v>
      </c>
    </row>
    <row r="1174" spans="1:19" x14ac:dyDescent="0.3">
      <c r="A1174" s="2">
        <v>44805</v>
      </c>
      <c r="B1174">
        <v>2022</v>
      </c>
      <c r="C1174">
        <v>9</v>
      </c>
      <c r="D1174" t="s">
        <v>55</v>
      </c>
      <c r="E1174" t="s">
        <v>30</v>
      </c>
      <c r="F1174" t="s">
        <v>23</v>
      </c>
      <c r="G1174" t="s">
        <v>33</v>
      </c>
      <c r="H1174" t="s">
        <v>12</v>
      </c>
      <c r="I1174">
        <v>177.65</v>
      </c>
      <c r="J1174" s="8">
        <f t="shared" si="246"/>
        <v>-0.10598359418247698</v>
      </c>
      <c r="K1174" s="8">
        <f t="shared" si="247"/>
        <v>1.710144927536231</v>
      </c>
      <c r="L1174" s="6">
        <f t="shared" si="248"/>
        <v>-0.10747959418247698</v>
      </c>
      <c r="M1174">
        <f t="shared" si="249"/>
        <v>-0.24428174205815778</v>
      </c>
      <c r="N1174" s="15">
        <v>1.4959999999999999E-3</v>
      </c>
      <c r="O1174" s="8">
        <f>(I1174 - MAX(I1082:I1174)) / MAX(I1082:I1174)</f>
        <v>-0.27898859531636827</v>
      </c>
      <c r="P1174" s="15">
        <v>-5.6599999999999998E-2</v>
      </c>
      <c r="Q1174">
        <f t="shared" si="250"/>
        <v>0.97783368218087441</v>
      </c>
      <c r="R1174">
        <f t="shared" si="251"/>
        <v>-1.6369355410914103E-3</v>
      </c>
      <c r="S1174" s="15">
        <f t="shared" si="252"/>
        <v>6.9343955555253606E-2</v>
      </c>
    </row>
    <row r="1175" spans="1:19" x14ac:dyDescent="0.3">
      <c r="A1175" s="2">
        <v>44835</v>
      </c>
      <c r="B1175">
        <v>2022</v>
      </c>
      <c r="C1175">
        <v>10</v>
      </c>
      <c r="D1175" t="s">
        <v>55</v>
      </c>
      <c r="E1175" t="s">
        <v>30</v>
      </c>
      <c r="F1175" t="s">
        <v>23</v>
      </c>
      <c r="G1175" t="s">
        <v>33</v>
      </c>
      <c r="H1175" t="s">
        <v>12</v>
      </c>
      <c r="I1175">
        <v>207.16</v>
      </c>
      <c r="J1175" s="8">
        <f t="shared" si="246"/>
        <v>0.16611314382212208</v>
      </c>
      <c r="K1175" s="8">
        <f t="shared" si="247"/>
        <v>2.1603356216628518</v>
      </c>
      <c r="L1175" s="6">
        <f t="shared" si="248"/>
        <v>0.16429114382212209</v>
      </c>
      <c r="M1175">
        <f t="shared" si="249"/>
        <v>9.8297361453554173E-3</v>
      </c>
      <c r="N1175" s="15">
        <v>1.8220000000000001E-3</v>
      </c>
      <c r="O1175" s="8">
        <f>(I1175 - MAX(I1082:I1175)) / MAX(I1082:I1175)</f>
        <v>-0.1592191241527659</v>
      </c>
      <c r="P1175" s="15">
        <v>9.0200000000000002E-2</v>
      </c>
      <c r="Q1175">
        <f t="shared" si="250"/>
        <v>1.3669979795915568</v>
      </c>
      <c r="R1175">
        <f t="shared" si="251"/>
        <v>1.7885243226780378E-2</v>
      </c>
      <c r="S1175" s="15">
        <f t="shared" si="252"/>
        <v>8.5968109030008344E-2</v>
      </c>
    </row>
    <row r="1176" spans="1:19" x14ac:dyDescent="0.3">
      <c r="A1176" s="2">
        <v>44866</v>
      </c>
      <c r="B1176">
        <v>2022</v>
      </c>
      <c r="C1176">
        <v>11</v>
      </c>
      <c r="D1176" t="s">
        <v>55</v>
      </c>
      <c r="E1176" t="s">
        <v>30</v>
      </c>
      <c r="F1176" t="s">
        <v>23</v>
      </c>
      <c r="G1176" t="s">
        <v>33</v>
      </c>
      <c r="H1176" t="s">
        <v>12</v>
      </c>
      <c r="I1176">
        <v>217</v>
      </c>
      <c r="J1176" s="8">
        <f t="shared" si="246"/>
        <v>4.7499517281328459E-2</v>
      </c>
      <c r="K1176" s="8">
        <f t="shared" si="247"/>
        <v>2.310450038138824</v>
      </c>
      <c r="L1176" s="6">
        <f t="shared" si="248"/>
        <v>4.5777517281328457E-2</v>
      </c>
      <c r="M1176">
        <f t="shared" si="249"/>
        <v>0.14244859513215613</v>
      </c>
      <c r="N1176" s="15">
        <v>1.722E-3</v>
      </c>
      <c r="O1176" s="8">
        <f>(I1176 - MAX(I1082:I1176)) / MAX(I1082:I1176)</f>
        <v>-0.11928243841064974</v>
      </c>
      <c r="P1176" s="15">
        <v>9.6000000000000002E-2</v>
      </c>
      <c r="Q1176">
        <f t="shared" si="250"/>
        <v>1.1098516778581349</v>
      </c>
      <c r="R1176">
        <f t="shared" si="251"/>
        <v>1.2781891443357561E-2</v>
      </c>
      <c r="S1176" s="15">
        <f t="shared" si="252"/>
        <v>8.2284020976199412E-2</v>
      </c>
    </row>
    <row r="1177" spans="1:19" x14ac:dyDescent="0.3">
      <c r="A1177" s="2">
        <v>44896</v>
      </c>
      <c r="B1177">
        <v>2022</v>
      </c>
      <c r="C1177">
        <v>12</v>
      </c>
      <c r="D1177" t="s">
        <v>55</v>
      </c>
      <c r="E1177" t="s">
        <v>30</v>
      </c>
      <c r="F1177" t="s">
        <v>23</v>
      </c>
      <c r="G1177" t="s">
        <v>33</v>
      </c>
      <c r="H1177" t="s">
        <v>12</v>
      </c>
      <c r="I1177">
        <v>207.76</v>
      </c>
      <c r="J1177" s="8">
        <f t="shared" si="246"/>
        <v>-4.2580645161290363E-2</v>
      </c>
      <c r="K1177" s="8">
        <f t="shared" si="247"/>
        <v>2.1694889397406545</v>
      </c>
      <c r="L1177" s="6">
        <f t="shared" si="248"/>
        <v>-4.431864516129036E-2</v>
      </c>
      <c r="M1177">
        <f t="shared" si="249"/>
        <v>-2.441433182661051E-2</v>
      </c>
      <c r="N1177" s="15">
        <v>1.738E-3</v>
      </c>
      <c r="O1177" s="8">
        <f>(I1177 - MAX(I1082:I1177)) / MAX(I1082:I1177)</f>
        <v>-0.15678396038800274</v>
      </c>
      <c r="P1177" s="15">
        <v>-4.3200000000000002E-2</v>
      </c>
      <c r="Q1177">
        <f t="shared" si="250"/>
        <v>1.0523999823963057</v>
      </c>
      <c r="R1177">
        <f t="shared" si="251"/>
        <v>8.3550378450025151E-3</v>
      </c>
      <c r="S1177" s="15">
        <f t="shared" si="252"/>
        <v>7.6360565478380868E-2</v>
      </c>
    </row>
    <row r="1178" spans="1:19" x14ac:dyDescent="0.3">
      <c r="A1178" s="2">
        <v>44927</v>
      </c>
      <c r="B1178">
        <v>2023</v>
      </c>
      <c r="C1178">
        <v>1</v>
      </c>
      <c r="D1178" t="s">
        <v>55</v>
      </c>
      <c r="E1178" t="s">
        <v>30</v>
      </c>
      <c r="F1178" t="s">
        <v>23</v>
      </c>
      <c r="G1178" t="s">
        <v>33</v>
      </c>
      <c r="H1178" t="s">
        <v>12</v>
      </c>
      <c r="I1178">
        <v>230.21</v>
      </c>
      <c r="J1178" s="8">
        <f t="shared" si="246"/>
        <v>0.1080573738929535</v>
      </c>
      <c r="K1178" s="8">
        <f t="shared" si="247"/>
        <v>2.5119755911517911</v>
      </c>
      <c r="L1178" s="6">
        <f t="shared" si="248"/>
        <v>0.10623037389295351</v>
      </c>
      <c r="M1178">
        <f t="shared" si="249"/>
        <v>4.0839921455913822E-2</v>
      </c>
      <c r="N1178" s="15">
        <v>1.8270000000000001E-3</v>
      </c>
      <c r="O1178" s="8">
        <f>(I1178 - MAX(I1082:I1178)) / MAX(I1082:I1178)</f>
        <v>-6.5668249523113675E-2</v>
      </c>
      <c r="P1178" s="15">
        <v>9.7500000000000003E-2</v>
      </c>
      <c r="Q1178">
        <f t="shared" si="250"/>
        <v>1.0891957250703246</v>
      </c>
      <c r="R1178">
        <f t="shared" si="251"/>
        <v>2.4755959511805602E-3</v>
      </c>
      <c r="S1178" s="15">
        <f t="shared" si="252"/>
        <v>8.1844059999828994E-2</v>
      </c>
    </row>
    <row r="1179" spans="1:19" x14ac:dyDescent="0.3">
      <c r="A1179" s="2">
        <v>44958</v>
      </c>
      <c r="B1179">
        <v>2023</v>
      </c>
      <c r="C1179">
        <v>2</v>
      </c>
      <c r="D1179" t="s">
        <v>55</v>
      </c>
      <c r="E1179" t="s">
        <v>30</v>
      </c>
      <c r="F1179" t="s">
        <v>23</v>
      </c>
      <c r="G1179" t="s">
        <v>33</v>
      </c>
      <c r="H1179" t="s">
        <v>12</v>
      </c>
      <c r="I1179">
        <v>219.94</v>
      </c>
      <c r="J1179" s="8">
        <f t="shared" ref="J1179:J1210" si="253">(I1179-I1178)/I1178</f>
        <v>-4.4611441727118763E-2</v>
      </c>
      <c r="K1179" s="8">
        <f t="shared" ref="K1179:K1210" si="254">(K1178+1)*(J1179+1)-1</f>
        <v>2.3553012967200595</v>
      </c>
      <c r="L1179" s="6">
        <f t="shared" si="248"/>
        <v>-4.658644172711876E-2</v>
      </c>
      <c r="M1179">
        <f t="shared" si="249"/>
        <v>3.877268714364436E-2</v>
      </c>
      <c r="N1179" s="15">
        <v>1.9750000000000002E-3</v>
      </c>
      <c r="O1179" s="8">
        <f>(I1179 - MAX(I1082:I1179)) / MAX(I1082:I1179)</f>
        <v>-0.10735013596331015</v>
      </c>
      <c r="P1179" s="15">
        <v>1.7999999999999999E-2</v>
      </c>
      <c r="Q1179">
        <f t="shared" si="250"/>
        <v>1.102337969110508</v>
      </c>
      <c r="R1179">
        <f t="shared" si="251"/>
        <v>-4.6989372245732934E-3</v>
      </c>
      <c r="S1179" s="15">
        <f t="shared" si="252"/>
        <v>8.1853624293922927E-2</v>
      </c>
    </row>
    <row r="1180" spans="1:19" x14ac:dyDescent="0.3">
      <c r="A1180" s="2">
        <v>44986</v>
      </c>
      <c r="B1180">
        <v>2023</v>
      </c>
      <c r="C1180">
        <v>3</v>
      </c>
      <c r="D1180" t="s">
        <v>55</v>
      </c>
      <c r="E1180" t="s">
        <v>30</v>
      </c>
      <c r="F1180" t="s">
        <v>23</v>
      </c>
      <c r="G1180" t="s">
        <v>33</v>
      </c>
      <c r="H1180" t="s">
        <v>12</v>
      </c>
      <c r="I1180">
        <v>225.46</v>
      </c>
      <c r="J1180" s="8">
        <f t="shared" si="253"/>
        <v>2.5097753932890834E-2</v>
      </c>
      <c r="K1180" s="8">
        <f t="shared" si="254"/>
        <v>2.4395118230358492</v>
      </c>
      <c r="L1180" s="6">
        <f t="shared" si="248"/>
        <v>2.3111753932890833E-2</v>
      </c>
      <c r="M1180">
        <f t="shared" si="249"/>
        <v>3.5936827926269788E-2</v>
      </c>
      <c r="N1180" s="15">
        <v>1.9859999999999999E-3</v>
      </c>
      <c r="O1180" s="8">
        <f>(I1180 - MAX(I1082:I1180)) / MAX(I1082:I1180)</f>
        <v>-8.4946629327488851E-2</v>
      </c>
      <c r="P1180" s="15">
        <v>1.8100000000000002E-2</v>
      </c>
      <c r="Q1180">
        <f t="shared" si="250"/>
        <v>1.1162623793305513</v>
      </c>
      <c r="R1180">
        <f t="shared" si="251"/>
        <v>-7.0638274126203623E-3</v>
      </c>
      <c r="S1180" s="15">
        <f t="shared" si="252"/>
        <v>8.1828985244968552E-2</v>
      </c>
    </row>
    <row r="1181" spans="1:19" x14ac:dyDescent="0.3">
      <c r="A1181" s="2">
        <v>45017</v>
      </c>
      <c r="B1181">
        <v>2023</v>
      </c>
      <c r="C1181">
        <v>4</v>
      </c>
      <c r="D1181" t="s">
        <v>55</v>
      </c>
      <c r="E1181" t="s">
        <v>30</v>
      </c>
      <c r="F1181" t="s">
        <v>23</v>
      </c>
      <c r="G1181" t="s">
        <v>33</v>
      </c>
      <c r="H1181" t="s">
        <v>12</v>
      </c>
      <c r="I1181">
        <v>232.73</v>
      </c>
      <c r="J1181" s="8">
        <f t="shared" si="253"/>
        <v>3.2245187616428556E-2</v>
      </c>
      <c r="K1181" s="8">
        <f t="shared" si="254"/>
        <v>2.5504195270785641</v>
      </c>
      <c r="L1181" s="6">
        <f t="shared" si="248"/>
        <v>3.0279187616428557E-2</v>
      </c>
      <c r="M1181">
        <f t="shared" si="249"/>
        <v>0.10820429576346365</v>
      </c>
      <c r="N1181" s="15">
        <v>1.9659999999999999E-3</v>
      </c>
      <c r="O1181" s="8">
        <f>(I1181 - MAX(I1082:I1181)) / MAX(I1082:I1181)</f>
        <v>-5.5440561711108394E-2</v>
      </c>
      <c r="P1181" s="15">
        <v>1.03E-2</v>
      </c>
      <c r="Q1181">
        <f t="shared" si="250"/>
        <v>1.1116790456212213</v>
      </c>
      <c r="R1181">
        <f t="shared" si="251"/>
        <v>-4.393044570945746E-3</v>
      </c>
      <c r="S1181" s="15">
        <f t="shared" si="252"/>
        <v>8.0979963995602894E-2</v>
      </c>
    </row>
    <row r="1182" spans="1:19" x14ac:dyDescent="0.3">
      <c r="A1182" s="2">
        <v>45047</v>
      </c>
      <c r="B1182">
        <v>2023</v>
      </c>
      <c r="C1182">
        <v>5</v>
      </c>
      <c r="D1182" t="s">
        <v>55</v>
      </c>
      <c r="E1182" t="s">
        <v>30</v>
      </c>
      <c r="F1182" t="s">
        <v>23</v>
      </c>
      <c r="G1182" t="s">
        <v>33</v>
      </c>
      <c r="H1182" t="s">
        <v>12</v>
      </c>
      <c r="I1182">
        <v>221.03</v>
      </c>
      <c r="J1182" s="8">
        <f t="shared" si="253"/>
        <v>-5.0272848365058173E-2</v>
      </c>
      <c r="K1182" s="8">
        <f t="shared" si="254"/>
        <v>2.371929824561402</v>
      </c>
      <c r="L1182" s="6">
        <f t="shared" si="248"/>
        <v>-5.2224848365058175E-2</v>
      </c>
      <c r="M1182">
        <f t="shared" si="249"/>
        <v>5.8598890828188477E-2</v>
      </c>
      <c r="N1182" s="15">
        <v>1.952E-3</v>
      </c>
      <c r="O1182" s="8">
        <f>(I1182 - MAX(I1082:I1182)) / MAX(I1082:I1182)</f>
        <v>-0.10292625512399037</v>
      </c>
      <c r="P1182" s="15">
        <v>-3.2400000000000012E-2</v>
      </c>
      <c r="Q1182">
        <f t="shared" si="250"/>
        <v>1.1216442228718666</v>
      </c>
      <c r="R1182">
        <f t="shared" si="251"/>
        <v>-5.6213322828211655E-3</v>
      </c>
      <c r="S1182" s="15">
        <f t="shared" si="252"/>
        <v>8.2797364232825091E-2</v>
      </c>
    </row>
    <row r="1183" spans="1:19" x14ac:dyDescent="0.3">
      <c r="A1183" s="2">
        <v>45078</v>
      </c>
      <c r="B1183">
        <v>2023</v>
      </c>
      <c r="C1183">
        <v>6</v>
      </c>
      <c r="D1183" t="s">
        <v>55</v>
      </c>
      <c r="E1183" t="s">
        <v>30</v>
      </c>
      <c r="F1183" t="s">
        <v>23</v>
      </c>
      <c r="G1183" t="s">
        <v>33</v>
      </c>
      <c r="H1183" t="s">
        <v>12</v>
      </c>
      <c r="I1183">
        <v>237.48</v>
      </c>
      <c r="J1183" s="8">
        <f t="shared" si="253"/>
        <v>7.4424286295977873E-2</v>
      </c>
      <c r="K1183" s="8">
        <f t="shared" si="254"/>
        <v>2.622883295194506</v>
      </c>
      <c r="L1183" s="6">
        <f t="shared" si="248"/>
        <v>7.2444286295977878E-2</v>
      </c>
      <c r="M1183">
        <f t="shared" si="249"/>
        <v>0.20989520340312676</v>
      </c>
      <c r="N1183" s="15">
        <v>1.98E-3</v>
      </c>
      <c r="O1183" s="8">
        <f>(I1183 - MAX(I1082:I1183)) / MAX(I1082:I1183)</f>
        <v>-3.6162181906733218E-2</v>
      </c>
      <c r="P1183" s="15">
        <v>4.2900000000000001E-2</v>
      </c>
      <c r="Q1183">
        <f t="shared" si="250"/>
        <v>1.2346597995821449</v>
      </c>
      <c r="R1183">
        <f t="shared" si="251"/>
        <v>-7.946579376628661E-3</v>
      </c>
      <c r="S1183" s="15">
        <f t="shared" si="252"/>
        <v>8.0948337201553561E-2</v>
      </c>
    </row>
    <row r="1184" spans="1:19" x14ac:dyDescent="0.3">
      <c r="A1184" s="2">
        <v>45108</v>
      </c>
      <c r="B1184">
        <v>2023</v>
      </c>
      <c r="C1184">
        <v>7</v>
      </c>
      <c r="D1184" t="s">
        <v>55</v>
      </c>
      <c r="E1184" t="s">
        <v>30</v>
      </c>
      <c r="F1184" t="s">
        <v>23</v>
      </c>
      <c r="G1184" t="s">
        <v>33</v>
      </c>
      <c r="H1184" t="s">
        <v>12</v>
      </c>
      <c r="I1184">
        <v>237.73</v>
      </c>
      <c r="J1184" s="8">
        <f t="shared" si="253"/>
        <v>1.0527202290719218E-3</v>
      </c>
      <c r="K1184" s="8">
        <f t="shared" si="254"/>
        <v>2.6266971777269243</v>
      </c>
      <c r="L1184" s="6">
        <f t="shared" si="248"/>
        <v>-9.9427977092807836E-4</v>
      </c>
      <c r="M1184">
        <f t="shared" si="249"/>
        <v>0.13361027145227911</v>
      </c>
      <c r="N1184" s="15">
        <v>2.0470000000000002E-3</v>
      </c>
      <c r="O1184" s="8">
        <f>(I1184 - MAX(I1082:I1184)) / MAX(I1082:I1184)</f>
        <v>-3.5147530338081892E-2</v>
      </c>
      <c r="P1184" s="15">
        <v>1.6400000000000001E-2</v>
      </c>
      <c r="Q1184">
        <f t="shared" si="250"/>
        <v>1.2426885901218312</v>
      </c>
      <c r="R1184">
        <f t="shared" si="251"/>
        <v>-8.547281160476124E-3</v>
      </c>
      <c r="S1184" s="15">
        <f t="shared" si="252"/>
        <v>7.8894686545395568E-2</v>
      </c>
    </row>
    <row r="1185" spans="1:19" x14ac:dyDescent="0.3">
      <c r="A1185" s="2">
        <v>45139</v>
      </c>
      <c r="B1185">
        <v>2023</v>
      </c>
      <c r="C1185">
        <v>8</v>
      </c>
      <c r="D1185" t="s">
        <v>55</v>
      </c>
      <c r="E1185" t="s">
        <v>30</v>
      </c>
      <c r="F1185" t="s">
        <v>23</v>
      </c>
      <c r="G1185" t="s">
        <v>33</v>
      </c>
      <c r="H1185" t="s">
        <v>12</v>
      </c>
      <c r="I1185">
        <v>245.68</v>
      </c>
      <c r="J1185" s="8">
        <f t="shared" si="253"/>
        <v>3.3441298952593353E-2</v>
      </c>
      <c r="K1185" s="8">
        <f t="shared" si="254"/>
        <v>2.7479786422578174</v>
      </c>
      <c r="L1185" s="6">
        <f t="shared" si="248"/>
        <v>3.1320298952593355E-2</v>
      </c>
      <c r="M1185">
        <f t="shared" si="249"/>
        <v>0.24539008594949002</v>
      </c>
      <c r="N1185" s="15">
        <v>2.1210000000000001E-3</v>
      </c>
      <c r="O1185" s="8">
        <f>(I1185 - MAX(I1082:I1185)) / MAX(I1082:I1185)</f>
        <v>-2.8816104549696806E-3</v>
      </c>
      <c r="P1185" s="15">
        <v>-3.9E-2</v>
      </c>
      <c r="Q1185">
        <f t="shared" si="250"/>
        <v>1.1075313292561526</v>
      </c>
      <c r="R1185">
        <f t="shared" si="251"/>
        <v>4.3775546562125484E-4</v>
      </c>
      <c r="S1185" s="15">
        <f t="shared" si="252"/>
        <v>7.5339485065521031E-2</v>
      </c>
    </row>
    <row r="1186" spans="1:19" x14ac:dyDescent="0.3">
      <c r="A1186" s="2">
        <v>45170</v>
      </c>
      <c r="B1186">
        <v>2023</v>
      </c>
      <c r="C1186">
        <v>9</v>
      </c>
      <c r="D1186" t="s">
        <v>55</v>
      </c>
      <c r="E1186" t="s">
        <v>30</v>
      </c>
      <c r="F1186" t="s">
        <v>23</v>
      </c>
      <c r="G1186" t="s">
        <v>33</v>
      </c>
      <c r="H1186" t="s">
        <v>12</v>
      </c>
      <c r="I1186">
        <v>230.01</v>
      </c>
      <c r="J1186" s="8">
        <f t="shared" si="253"/>
        <v>-6.3782155649625596E-2</v>
      </c>
      <c r="K1186" s="8">
        <f t="shared" si="254"/>
        <v>2.5089244851258568</v>
      </c>
      <c r="L1186" s="6">
        <f t="shared" si="248"/>
        <v>-6.6000155649625594E-2</v>
      </c>
      <c r="M1186">
        <f t="shared" si="249"/>
        <v>0.31494057743467424</v>
      </c>
      <c r="N1186" s="15">
        <v>2.2179999999999999E-3</v>
      </c>
      <c r="O1186" s="8">
        <f>(I1186 - MAX(I1082:I1186)) / MAX(I1082:I1186)</f>
        <v>-6.6479970778034803E-2</v>
      </c>
      <c r="P1186" s="15">
        <v>-2.8500000000000001E-2</v>
      </c>
      <c r="Q1186">
        <f t="shared" si="250"/>
        <v>1.048491034169053</v>
      </c>
      <c r="R1186">
        <f t="shared" si="251"/>
        <v>2.4644424180350101E-3</v>
      </c>
      <c r="S1186" s="15">
        <f t="shared" si="252"/>
        <v>6.9677215848465437E-2</v>
      </c>
    </row>
    <row r="1187" spans="1:19" x14ac:dyDescent="0.3">
      <c r="A1187" s="2">
        <v>45200</v>
      </c>
      <c r="B1187">
        <v>2023</v>
      </c>
      <c r="C1187">
        <v>10</v>
      </c>
      <c r="D1187" t="s">
        <v>55</v>
      </c>
      <c r="E1187" t="s">
        <v>30</v>
      </c>
      <c r="F1187" t="s">
        <v>23</v>
      </c>
      <c r="G1187" t="s">
        <v>33</v>
      </c>
      <c r="H1187" t="s">
        <v>12</v>
      </c>
      <c r="I1187">
        <v>235.1</v>
      </c>
      <c r="J1187" s="8">
        <f t="shared" si="253"/>
        <v>2.2129472631624729E-2</v>
      </c>
      <c r="K1187" s="8">
        <f t="shared" si="254"/>
        <v>2.5865751334858875</v>
      </c>
      <c r="L1187" s="6">
        <f t="shared" si="248"/>
        <v>1.9776472631624728E-2</v>
      </c>
      <c r="M1187">
        <f t="shared" si="249"/>
        <v>0.18516656213991781</v>
      </c>
      <c r="N1187" s="15">
        <v>2.3530000000000001E-3</v>
      </c>
      <c r="O1187" s="8">
        <f>(I1187 - MAX(I1082:I1187)) / MAX(I1082:I1187)</f>
        <v>-4.5821664840293812E-2</v>
      </c>
      <c r="P1187" s="15">
        <v>-2.7199999999999998E-2</v>
      </c>
      <c r="Q1187">
        <f t="shared" si="250"/>
        <v>0.76873679073865397</v>
      </c>
      <c r="R1187">
        <f t="shared" si="251"/>
        <v>3.1738854875297175E-3</v>
      </c>
      <c r="S1187" s="15">
        <f t="shared" si="252"/>
        <v>5.3472361386715309E-2</v>
      </c>
    </row>
    <row r="1188" spans="1:19" x14ac:dyDescent="0.3">
      <c r="A1188" s="2">
        <v>45231</v>
      </c>
      <c r="B1188">
        <v>2023</v>
      </c>
      <c r="C1188">
        <v>11</v>
      </c>
      <c r="D1188" t="s">
        <v>55</v>
      </c>
      <c r="E1188" t="s">
        <v>30</v>
      </c>
      <c r="F1188" t="s">
        <v>23</v>
      </c>
      <c r="G1188" t="s">
        <v>33</v>
      </c>
      <c r="H1188" t="s">
        <v>12</v>
      </c>
      <c r="I1188">
        <v>256.68</v>
      </c>
      <c r="J1188" s="8">
        <f t="shared" si="253"/>
        <v>9.1790727350063855E-2</v>
      </c>
      <c r="K1188" s="8">
        <f t="shared" si="254"/>
        <v>2.9157894736842094</v>
      </c>
      <c r="L1188" s="6">
        <f t="shared" si="248"/>
        <v>8.9622727350063852E-2</v>
      </c>
      <c r="M1188">
        <f t="shared" si="249"/>
        <v>0.23562379786091575</v>
      </c>
      <c r="N1188" s="15">
        <v>2.1679999999999998E-3</v>
      </c>
      <c r="O1188" s="8">
        <f>(I1188 - MAX(I1082:I1188)) / MAX(I1082:I1188)</f>
        <v>0</v>
      </c>
      <c r="P1188" s="15">
        <v>7.9100000000000004E-2</v>
      </c>
      <c r="Q1188">
        <f t="shared" si="250"/>
        <v>0.95972392087429037</v>
      </c>
      <c r="R1188">
        <f t="shared" si="251"/>
        <v>6.5435577982819633E-3</v>
      </c>
      <c r="S1188" s="15">
        <f t="shared" si="252"/>
        <v>5.7528403142073969E-2</v>
      </c>
    </row>
    <row r="1189" spans="1:19" x14ac:dyDescent="0.3">
      <c r="A1189" s="2">
        <v>45261</v>
      </c>
      <c r="B1189">
        <v>2023</v>
      </c>
      <c r="C1189">
        <v>12</v>
      </c>
      <c r="D1189" t="s">
        <v>55</v>
      </c>
      <c r="E1189" t="s">
        <v>30</v>
      </c>
      <c r="F1189" t="s">
        <v>23</v>
      </c>
      <c r="G1189" t="s">
        <v>33</v>
      </c>
      <c r="H1189" t="s">
        <v>12</v>
      </c>
      <c r="I1189">
        <v>260.35000000000002</v>
      </c>
      <c r="J1189" s="8">
        <f t="shared" si="253"/>
        <v>1.4297958547607978E-2</v>
      </c>
      <c r="K1189" s="8">
        <f t="shared" si="254"/>
        <v>2.9717772692601057</v>
      </c>
      <c r="L1189" s="6">
        <f t="shared" si="248"/>
        <v>1.2545958547607977E-2</v>
      </c>
      <c r="M1189">
        <f t="shared" ref="M1189:M1220" si="255">(AVERAGE(J1178:J1189)-AVERAGE(N1178:N1189))/STDEV(J1178:J1189)</f>
        <v>0.33525022239291485</v>
      </c>
      <c r="N1189" s="15">
        <v>1.7520000000000001E-3</v>
      </c>
      <c r="O1189" s="8">
        <f>(I1189 - MAX(I1082:I1189)) / MAX(I1082:I1189)</f>
        <v>0</v>
      </c>
      <c r="P1189" s="15">
        <v>3.1800000000000002E-2</v>
      </c>
      <c r="Q1189">
        <f t="shared" ref="Q1189:Q1220" si="256" xml:space="preserve"> _xlfn.COVARIANCE.P(J1178:J1189, P1178:P1189) / _xlfn.VAR.P(P1178:P1189)</f>
        <v>0.9201166354883038</v>
      </c>
      <c r="R1189">
        <f t="shared" ref="R1189:R1220" si="257">AVERAGE(J1178:J1189)-(AVERAGE(N1178:N1189)+Q1189*(AVERAGE(P1178:P1189)-AVERAGE(N1178:N1189)))</f>
        <v>5.8219801968383382E-3</v>
      </c>
      <c r="S1189" s="15">
        <f t="shared" ref="S1189:S1220" si="258">STDEV(J1178:J1189)</f>
        <v>5.4567533701768721E-2</v>
      </c>
    </row>
    <row r="1190" spans="1:19" x14ac:dyDescent="0.3">
      <c r="A1190" s="2">
        <v>45292</v>
      </c>
      <c r="B1190">
        <v>2024</v>
      </c>
      <c r="C1190">
        <v>1</v>
      </c>
      <c r="D1190" t="s">
        <v>55</v>
      </c>
      <c r="E1190" t="s">
        <v>30</v>
      </c>
      <c r="F1190" t="s">
        <v>23</v>
      </c>
      <c r="G1190" t="s">
        <v>33</v>
      </c>
      <c r="H1190" t="s">
        <v>12</v>
      </c>
      <c r="I1190">
        <v>273.26</v>
      </c>
      <c r="J1190" s="8">
        <f t="shared" si="253"/>
        <v>4.9587094296139687E-2</v>
      </c>
      <c r="K1190" s="8">
        <f t="shared" si="254"/>
        <v>3.1687261632341706</v>
      </c>
      <c r="L1190" s="6">
        <f t="shared" si="248"/>
        <v>4.7775094296139686E-2</v>
      </c>
      <c r="M1190">
        <f t="shared" si="255"/>
        <v>0.27808239915348459</v>
      </c>
      <c r="N1190" s="15">
        <v>1.812E-3</v>
      </c>
      <c r="O1190" s="8">
        <f>(I1190 - MAX(I1082:I1190)) / MAX(I1082:I1190)</f>
        <v>0</v>
      </c>
      <c r="P1190" s="15">
        <v>2.8000000000000001E-2</v>
      </c>
      <c r="Q1190">
        <f t="shared" si="256"/>
        <v>0.86544890393601148</v>
      </c>
      <c r="R1190">
        <f t="shared" si="257"/>
        <v>6.7030149775731719E-3</v>
      </c>
      <c r="S1190" s="15">
        <f t="shared" si="258"/>
        <v>4.8268083668998943E-2</v>
      </c>
    </row>
    <row r="1191" spans="1:19" x14ac:dyDescent="0.3">
      <c r="A1191" s="2">
        <v>45323</v>
      </c>
      <c r="B1191">
        <v>2024</v>
      </c>
      <c r="C1191">
        <v>2</v>
      </c>
      <c r="D1191" t="s">
        <v>55</v>
      </c>
      <c r="E1191" t="s">
        <v>30</v>
      </c>
      <c r="F1191" t="s">
        <v>23</v>
      </c>
      <c r="G1191" t="s">
        <v>33</v>
      </c>
      <c r="H1191" t="s">
        <v>12</v>
      </c>
      <c r="I1191">
        <v>282.64</v>
      </c>
      <c r="J1191" s="8">
        <f t="shared" si="253"/>
        <v>3.4326282661201774E-2</v>
      </c>
      <c r="K1191" s="8">
        <f t="shared" si="254"/>
        <v>3.3118230358504945</v>
      </c>
      <c r="L1191" s="6">
        <f t="shared" si="248"/>
        <v>3.2383282661201773E-2</v>
      </c>
      <c r="M1191">
        <f t="shared" si="255"/>
        <v>0.44874278251730881</v>
      </c>
      <c r="N1191" s="15">
        <v>1.9430000000000001E-3</v>
      </c>
      <c r="O1191" s="8">
        <f>(I1191 - MAX(I1082:I1191)) / MAX(I1082:I1191)</f>
        <v>0</v>
      </c>
      <c r="P1191" s="15">
        <v>4.9299999999999997E-2</v>
      </c>
      <c r="Q1191">
        <f t="shared" si="256"/>
        <v>0.85309600506204708</v>
      </c>
      <c r="R1191">
        <f t="shared" si="257"/>
        <v>1.1152301639723488E-2</v>
      </c>
      <c r="S1191" s="15">
        <f t="shared" si="258"/>
        <v>4.4576348978132417E-2</v>
      </c>
    </row>
    <row r="1192" spans="1:19" x14ac:dyDescent="0.3">
      <c r="A1192" s="2">
        <v>45352</v>
      </c>
      <c r="B1192">
        <v>2024</v>
      </c>
      <c r="C1192">
        <v>3</v>
      </c>
      <c r="D1192" t="s">
        <v>55</v>
      </c>
      <c r="E1192" t="s">
        <v>30</v>
      </c>
      <c r="F1192" t="s">
        <v>23</v>
      </c>
      <c r="G1192" t="s">
        <v>33</v>
      </c>
      <c r="H1192" t="s">
        <v>12</v>
      </c>
      <c r="I1192">
        <v>279.08</v>
      </c>
      <c r="J1192" s="8">
        <f t="shared" si="253"/>
        <v>-1.2595527879988687E-2</v>
      </c>
      <c r="K1192" s="8">
        <f t="shared" si="254"/>
        <v>3.2575133485888621</v>
      </c>
      <c r="L1192" s="6">
        <f t="shared" si="248"/>
        <v>-1.4553527879988686E-2</v>
      </c>
      <c r="M1192">
        <f t="shared" si="255"/>
        <v>0.36938792966838074</v>
      </c>
      <c r="N1192" s="15">
        <v>1.9580000000000001E-3</v>
      </c>
      <c r="O1192" s="8">
        <f>(I1192 - MAX(I1082:I1192)) / MAX(I1082:I1192)</f>
        <v>-1.2595527879988687E-2</v>
      </c>
      <c r="P1192" s="15">
        <v>4.2199999999999988E-2</v>
      </c>
      <c r="Q1192">
        <f t="shared" si="256"/>
        <v>0.74992363468090173</v>
      </c>
      <c r="R1192">
        <f t="shared" si="257"/>
        <v>7.5761122386179061E-3</v>
      </c>
      <c r="S1192" s="15">
        <f t="shared" si="258"/>
        <v>4.5655366718786138E-2</v>
      </c>
    </row>
    <row r="1193" spans="1:19" x14ac:dyDescent="0.3">
      <c r="A1193" s="2">
        <v>45383</v>
      </c>
      <c r="B1193">
        <v>2024</v>
      </c>
      <c r="C1193">
        <v>4</v>
      </c>
      <c r="D1193" t="s">
        <v>55</v>
      </c>
      <c r="E1193" t="s">
        <v>30</v>
      </c>
      <c r="F1193" t="s">
        <v>23</v>
      </c>
      <c r="G1193" t="s">
        <v>33</v>
      </c>
      <c r="H1193" t="s">
        <v>12</v>
      </c>
      <c r="I1193">
        <v>268.61</v>
      </c>
      <c r="J1193" s="8">
        <f t="shared" si="253"/>
        <v>-3.7516124408771577E-2</v>
      </c>
      <c r="K1193" s="8">
        <f t="shared" si="254"/>
        <v>3.097787948131197</v>
      </c>
      <c r="L1193" s="6">
        <f t="shared" si="248"/>
        <v>-3.9554124408771575E-2</v>
      </c>
      <c r="M1193">
        <f t="shared" si="255"/>
        <v>0.22928505201326776</v>
      </c>
      <c r="N1193" s="15">
        <v>2.0379999999999999E-3</v>
      </c>
      <c r="O1193" s="8">
        <f>(I1193 - MAX(I1082:I1193)) / MAX(I1082:I1193)</f>
        <v>-4.9639116897820454E-2</v>
      </c>
      <c r="P1193" s="15">
        <v>-3.1899999999999998E-2</v>
      </c>
      <c r="Q1193">
        <f t="shared" si="256"/>
        <v>0.80173526107133608</v>
      </c>
      <c r="R1193">
        <f t="shared" si="257"/>
        <v>3.9391854803176637E-3</v>
      </c>
      <c r="S1193" s="15">
        <f t="shared" si="258"/>
        <v>4.8171909266450097E-2</v>
      </c>
    </row>
    <row r="1194" spans="1:19" x14ac:dyDescent="0.3">
      <c r="A1194" s="2">
        <v>45413</v>
      </c>
      <c r="B1194">
        <v>2024</v>
      </c>
      <c r="C1194">
        <v>5</v>
      </c>
      <c r="D1194" t="s">
        <v>55</v>
      </c>
      <c r="E1194" t="s">
        <v>30</v>
      </c>
      <c r="F1194" t="s">
        <v>23</v>
      </c>
      <c r="G1194" t="s">
        <v>33</v>
      </c>
      <c r="H1194" t="s">
        <v>12</v>
      </c>
      <c r="I1194">
        <v>272.45999999999998</v>
      </c>
      <c r="J1194" s="8">
        <f t="shared" si="253"/>
        <v>1.4333047913331468E-2</v>
      </c>
      <c r="K1194" s="8">
        <f t="shared" si="254"/>
        <v>3.1565217391304339</v>
      </c>
      <c r="L1194" s="6">
        <f t="shared" si="248"/>
        <v>1.2233047913331468E-2</v>
      </c>
      <c r="M1194">
        <f t="shared" si="255"/>
        <v>0.37424085609496904</v>
      </c>
      <c r="N1194" s="15">
        <v>2.0999999999999999E-3</v>
      </c>
      <c r="O1194" s="8">
        <f>(I1194 - MAX(I1082:I1194)) / MAX(I1082:I1194)</f>
        <v>-3.6017548825360908E-2</v>
      </c>
      <c r="P1194" s="15">
        <v>1.2699999999999999E-2</v>
      </c>
      <c r="Q1194">
        <f t="shared" si="256"/>
        <v>0.71780332505305833</v>
      </c>
      <c r="R1194">
        <f t="shared" si="257"/>
        <v>7.3656883187873841E-3</v>
      </c>
      <c r="S1194" s="15">
        <f t="shared" si="258"/>
        <v>4.3866375920492647E-2</v>
      </c>
    </row>
    <row r="1195" spans="1:19" x14ac:dyDescent="0.3">
      <c r="A1195" s="2">
        <v>45444</v>
      </c>
      <c r="B1195">
        <v>2024</v>
      </c>
      <c r="C1195">
        <v>6</v>
      </c>
      <c r="D1195" t="s">
        <v>55</v>
      </c>
      <c r="E1195" t="s">
        <v>30</v>
      </c>
      <c r="F1195" t="s">
        <v>23</v>
      </c>
      <c r="G1195" t="s">
        <v>33</v>
      </c>
      <c r="H1195" t="s">
        <v>12</v>
      </c>
      <c r="I1195">
        <v>262.47000000000003</v>
      </c>
      <c r="J1195" s="8">
        <f t="shared" si="253"/>
        <v>-3.6665932613961512E-2</v>
      </c>
      <c r="K1195" s="8">
        <f t="shared" si="254"/>
        <v>3.0041189931350107</v>
      </c>
      <c r="L1195" s="6">
        <f t="shared" si="248"/>
        <v>-3.8735932613961514E-2</v>
      </c>
      <c r="M1195">
        <f t="shared" si="255"/>
        <v>0.16753201658763009</v>
      </c>
      <c r="N1195" s="15">
        <v>2.0699999999999998E-3</v>
      </c>
      <c r="O1195" s="8">
        <f>(I1195 - MAX(I1082:I1195)) / MAX(I1082:I1195)</f>
        <v>-7.1362864421171665E-2</v>
      </c>
      <c r="P1195" s="15">
        <v>-1.7999999999999999E-2</v>
      </c>
      <c r="Q1195">
        <f t="shared" si="256"/>
        <v>0.69809075260557862</v>
      </c>
      <c r="R1195">
        <f t="shared" si="257"/>
        <v>1.897275437829294E-3</v>
      </c>
      <c r="S1195" s="15">
        <f t="shared" si="258"/>
        <v>4.2687791751334983E-2</v>
      </c>
    </row>
    <row r="1196" spans="1:19" x14ac:dyDescent="0.3">
      <c r="A1196" s="2">
        <v>45474</v>
      </c>
      <c r="B1196">
        <v>2024</v>
      </c>
      <c r="C1196">
        <v>7</v>
      </c>
      <c r="D1196" t="s">
        <v>55</v>
      </c>
      <c r="E1196" t="s">
        <v>30</v>
      </c>
      <c r="F1196" t="s">
        <v>23</v>
      </c>
      <c r="G1196" t="s">
        <v>33</v>
      </c>
      <c r="H1196" t="s">
        <v>12</v>
      </c>
      <c r="I1196">
        <v>265.67</v>
      </c>
      <c r="J1196" s="8">
        <f t="shared" si="253"/>
        <v>1.2191869546995802E-2</v>
      </c>
      <c r="K1196" s="8">
        <f t="shared" si="254"/>
        <v>3.052936689549961</v>
      </c>
      <c r="L1196" s="6">
        <f t="shared" si="248"/>
        <v>1.0142869546995802E-2</v>
      </c>
      <c r="M1196">
        <f t="shared" si="255"/>
        <v>0.18959424692820062</v>
      </c>
      <c r="N1196" s="15">
        <v>2.049E-3</v>
      </c>
      <c r="O1196" s="8">
        <f>(I1196 - MAX(I1082:I1196)) / MAX(I1082:I1196)</f>
        <v>-6.0041041607698735E-2</v>
      </c>
      <c r="P1196" s="15">
        <v>-4.3E-3</v>
      </c>
      <c r="Q1196">
        <f t="shared" si="256"/>
        <v>0.69538311652115115</v>
      </c>
      <c r="R1196">
        <f t="shared" si="257"/>
        <v>4.0454024617701482E-3</v>
      </c>
      <c r="S1196" s="15">
        <f t="shared" si="258"/>
        <v>4.2615573748539831E-2</v>
      </c>
    </row>
    <row r="1197" spans="1:19" x14ac:dyDescent="0.3">
      <c r="A1197" s="2">
        <v>45505</v>
      </c>
      <c r="B1197">
        <v>2024</v>
      </c>
      <c r="C1197">
        <v>8</v>
      </c>
      <c r="D1197" t="s">
        <v>55</v>
      </c>
      <c r="E1197" t="s">
        <v>30</v>
      </c>
      <c r="F1197" t="s">
        <v>23</v>
      </c>
      <c r="G1197" t="s">
        <v>33</v>
      </c>
      <c r="H1197" t="s">
        <v>12</v>
      </c>
      <c r="I1197">
        <v>276.37</v>
      </c>
      <c r="J1197" s="8">
        <f t="shared" si="253"/>
        <v>4.0275529792599796E-2</v>
      </c>
      <c r="K1197" s="8">
        <f t="shared" si="254"/>
        <v>3.2161708619374512</v>
      </c>
      <c r="L1197" s="6">
        <f t="shared" si="248"/>
        <v>3.8435529792599794E-2</v>
      </c>
      <c r="M1197">
        <f t="shared" si="255"/>
        <v>0.20169129240068565</v>
      </c>
      <c r="N1197" s="15">
        <v>1.8400000000000001E-3</v>
      </c>
      <c r="O1197" s="8">
        <f>(I1197 - MAX(I1082:I1197)) / MAX(I1082:I1197)</f>
        <v>-2.2183696575148536E-2</v>
      </c>
      <c r="P1197" s="15">
        <v>1.7500000000000002E-2</v>
      </c>
      <c r="Q1197">
        <f t="shared" si="256"/>
        <v>0.91337460513357871</v>
      </c>
      <c r="R1197">
        <f t="shared" si="257"/>
        <v>-9.4819954392179155E-4</v>
      </c>
      <c r="S1197" s="15">
        <f t="shared" si="258"/>
        <v>4.2999394829461628E-2</v>
      </c>
    </row>
    <row r="1198" spans="1:19" x14ac:dyDescent="0.3">
      <c r="A1198" s="2">
        <v>45536</v>
      </c>
      <c r="B1198">
        <v>2024</v>
      </c>
      <c r="C1198">
        <v>9</v>
      </c>
      <c r="D1198" t="s">
        <v>55</v>
      </c>
      <c r="E1198" t="s">
        <v>30</v>
      </c>
      <c r="F1198" t="s">
        <v>23</v>
      </c>
      <c r="G1198" t="s">
        <v>33</v>
      </c>
      <c r="H1198" t="s">
        <v>12</v>
      </c>
      <c r="I1198">
        <v>274.95</v>
      </c>
      <c r="J1198" s="8">
        <f t="shared" si="253"/>
        <v>-5.1380395846148856E-3</v>
      </c>
      <c r="K1198" s="8">
        <f t="shared" si="254"/>
        <v>3.1945080091533162</v>
      </c>
      <c r="L1198" s="6">
        <f t="shared" si="248"/>
        <v>-6.944039584614886E-3</v>
      </c>
      <c r="M1198">
        <f t="shared" si="255"/>
        <v>0.37116502610681956</v>
      </c>
      <c r="N1198" s="15">
        <v>1.8060000000000001E-3</v>
      </c>
      <c r="O1198" s="8">
        <f>(I1198 - MAX(I1082:I1198)) / MAX(I1082:I1198)</f>
        <v>-2.7207755448627222E-2</v>
      </c>
      <c r="P1198" s="15">
        <v>8.6E-3</v>
      </c>
      <c r="Q1198">
        <f t="shared" si="256"/>
        <v>0.78413618101758875</v>
      </c>
      <c r="R1198">
        <f t="shared" si="257"/>
        <v>2.8832343904545404E-3</v>
      </c>
      <c r="S1198" s="15">
        <f t="shared" si="258"/>
        <v>3.6625073928993418E-2</v>
      </c>
    </row>
    <row r="1199" spans="1:19" x14ac:dyDescent="0.3">
      <c r="A1199" s="2">
        <v>45566</v>
      </c>
      <c r="B1199">
        <v>2024</v>
      </c>
      <c r="C1199">
        <v>10</v>
      </c>
      <c r="D1199" t="s">
        <v>55</v>
      </c>
      <c r="E1199" t="s">
        <v>30</v>
      </c>
      <c r="F1199" t="s">
        <v>23</v>
      </c>
      <c r="G1199" t="s">
        <v>33</v>
      </c>
      <c r="H1199" t="s">
        <v>12</v>
      </c>
      <c r="I1199">
        <v>289.85000000000002</v>
      </c>
      <c r="J1199" s="8">
        <f t="shared" si="253"/>
        <v>5.4191671212947934E-2</v>
      </c>
      <c r="K1199" s="8">
        <f t="shared" si="254"/>
        <v>3.4218154080854299</v>
      </c>
      <c r="L1199" s="6">
        <f t="shared" si="248"/>
        <v>5.2333671212947935E-2</v>
      </c>
      <c r="M1199">
        <f t="shared" si="255"/>
        <v>0.42601486913435971</v>
      </c>
      <c r="N1199" s="15">
        <v>1.8580000000000001E-3</v>
      </c>
      <c r="O1199" s="8">
        <f>(I1199 - MAX(I1082:I1199)) / MAX(I1082:I1199)</f>
        <v>0</v>
      </c>
      <c r="P1199" s="15">
        <v>-3.4599999999999999E-2</v>
      </c>
      <c r="Q1199">
        <f t="shared" si="256"/>
        <v>0.61208812996389395</v>
      </c>
      <c r="R1199">
        <f t="shared" si="257"/>
        <v>8.2985873250367055E-3</v>
      </c>
      <c r="S1199" s="15">
        <f t="shared" si="258"/>
        <v>3.8278115587681349E-2</v>
      </c>
    </row>
    <row r="1200" spans="1:19" x14ac:dyDescent="0.3">
      <c r="A1200" s="2">
        <v>45597</v>
      </c>
      <c r="B1200">
        <v>2024</v>
      </c>
      <c r="C1200">
        <v>11</v>
      </c>
      <c r="D1200" t="s">
        <v>55</v>
      </c>
      <c r="E1200" t="s">
        <v>30</v>
      </c>
      <c r="F1200" t="s">
        <v>23</v>
      </c>
      <c r="G1200" t="s">
        <v>33</v>
      </c>
      <c r="H1200" t="s">
        <v>12</v>
      </c>
      <c r="I1200">
        <v>315.08</v>
      </c>
      <c r="J1200" s="8">
        <f t="shared" si="253"/>
        <v>8.7045023287907392E-2</v>
      </c>
      <c r="K1200" s="8">
        <f t="shared" si="254"/>
        <v>3.8067124332570543</v>
      </c>
      <c r="L1200" s="6">
        <f t="shared" si="248"/>
        <v>8.5124023287907385E-2</v>
      </c>
      <c r="M1200">
        <f t="shared" si="255"/>
        <v>0.42525202784743676</v>
      </c>
      <c r="N1200" s="15">
        <v>1.921E-3</v>
      </c>
      <c r="O1200" s="8">
        <f>(I1200 - MAX(I1082:I1200)) / MAX(I1082:I1200)</f>
        <v>0</v>
      </c>
      <c r="P1200" s="15">
        <v>-4.7999999999999996E-3</v>
      </c>
      <c r="Q1200">
        <f t="shared" si="256"/>
        <v>0.1956835509126289</v>
      </c>
      <c r="R1200">
        <f t="shared" si="257"/>
        <v>1.473598977177509E-2</v>
      </c>
      <c r="S1200" s="15">
        <f t="shared" si="258"/>
        <v>3.7465204994465248E-2</v>
      </c>
    </row>
    <row r="1201" spans="1:19" x14ac:dyDescent="0.3">
      <c r="A1201" s="2">
        <v>45627</v>
      </c>
      <c r="B1201">
        <v>2024</v>
      </c>
      <c r="C1201">
        <v>12</v>
      </c>
      <c r="D1201" t="s">
        <v>55</v>
      </c>
      <c r="E1201" t="s">
        <v>30</v>
      </c>
      <c r="F1201" t="s">
        <v>23</v>
      </c>
      <c r="G1201" t="s">
        <v>33</v>
      </c>
      <c r="H1201" t="s">
        <v>12</v>
      </c>
      <c r="I1201">
        <v>316.04000000000002</v>
      </c>
      <c r="J1201" s="8">
        <f t="shared" si="253"/>
        <v>3.0468452456520133E-3</v>
      </c>
      <c r="K1201" s="8">
        <f t="shared" si="254"/>
        <v>3.8213577421815401</v>
      </c>
      <c r="L1201" s="6">
        <f t="shared" si="248"/>
        <v>1.2308452456520134E-3</v>
      </c>
      <c r="M1201">
        <f t="shared" si="255"/>
        <v>0.39756576602320598</v>
      </c>
      <c r="N1201" s="15">
        <v>1.8159999999999999E-3</v>
      </c>
      <c r="O1201" s="8">
        <f>(I1201 - MAX(I1082:I1201)) / MAX(I1082:I1201)</f>
        <v>0</v>
      </c>
      <c r="P1201" s="15">
        <v>1.35E-2</v>
      </c>
      <c r="Q1201">
        <f t="shared" si="256"/>
        <v>0.2080999362701407</v>
      </c>
      <c r="R1201">
        <f t="shared" si="257"/>
        <v>1.4035627672823372E-2</v>
      </c>
      <c r="S1201" s="15">
        <f t="shared" si="258"/>
        <v>3.770251256554371E-2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532F-230E-4E50-8B31-5E13DD68D7B0}">
  <dimension ref="A3:B12"/>
  <sheetViews>
    <sheetView workbookViewId="0">
      <selection activeCell="B16" sqref="B16"/>
    </sheetView>
  </sheetViews>
  <sheetFormatPr baseColWidth="10" defaultRowHeight="14.4" x14ac:dyDescent="0.3"/>
  <cols>
    <col min="1" max="1" width="17.6640625" style="5" bestFit="1" customWidth="1"/>
    <col min="2" max="2" width="117.5546875" bestFit="1" customWidth="1"/>
  </cols>
  <sheetData>
    <row r="3" spans="1:2" x14ac:dyDescent="0.3">
      <c r="A3" s="11" t="s">
        <v>25</v>
      </c>
      <c r="B3" t="s">
        <v>44</v>
      </c>
    </row>
    <row r="4" spans="1:2" x14ac:dyDescent="0.3">
      <c r="A4" s="12" t="s">
        <v>7</v>
      </c>
      <c r="B4" t="s">
        <v>45</v>
      </c>
    </row>
    <row r="5" spans="1:2" x14ac:dyDescent="0.3">
      <c r="A5" s="13" t="s">
        <v>8</v>
      </c>
      <c r="B5" t="s">
        <v>46</v>
      </c>
    </row>
    <row r="6" spans="1:2" ht="43.2" x14ac:dyDescent="0.3">
      <c r="A6" s="11" t="s">
        <v>42</v>
      </c>
      <c r="B6" s="10" t="s">
        <v>47</v>
      </c>
    </row>
    <row r="7" spans="1:2" ht="144" x14ac:dyDescent="0.3">
      <c r="A7" s="12" t="s">
        <v>41</v>
      </c>
      <c r="B7" s="10" t="s">
        <v>48</v>
      </c>
    </row>
    <row r="8" spans="1:2" ht="43.2" x14ac:dyDescent="0.3">
      <c r="A8" s="14" t="s">
        <v>36</v>
      </c>
      <c r="B8" s="10" t="s">
        <v>49</v>
      </c>
    </row>
    <row r="9" spans="1:2" ht="28.8" x14ac:dyDescent="0.3">
      <c r="A9" s="7" t="s">
        <v>37</v>
      </c>
      <c r="B9" s="10" t="s">
        <v>50</v>
      </c>
    </row>
    <row r="10" spans="1:2" x14ac:dyDescent="0.3">
      <c r="A10" s="16" t="s">
        <v>51</v>
      </c>
      <c r="B10" s="10" t="s">
        <v>52</v>
      </c>
    </row>
    <row r="11" spans="1:2" ht="43.2" x14ac:dyDescent="0.3">
      <c r="A11" s="3" t="s">
        <v>38</v>
      </c>
      <c r="B11" s="10" t="s">
        <v>53</v>
      </c>
    </row>
    <row r="12" spans="1:2" ht="43.2" x14ac:dyDescent="0.3">
      <c r="A12" s="3" t="s">
        <v>39</v>
      </c>
      <c r="B12" s="1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Explicación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Lantero</cp:lastModifiedBy>
  <dcterms:created xsi:type="dcterms:W3CDTF">2025-11-11T11:42:04Z</dcterms:created>
  <dcterms:modified xsi:type="dcterms:W3CDTF">2026-04-12T09:18:54Z</dcterms:modified>
</cp:coreProperties>
</file>